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BIG_DATA\"/>
    </mc:Choice>
  </mc:AlternateContent>
  <xr:revisionPtr revIDLastSave="0" documentId="8_{7219F56E-8BFB-4926-8D61-92E83805F1D2}" xr6:coauthVersionLast="47" xr6:coauthVersionMax="47" xr10:uidLastSave="{00000000-0000-0000-0000-000000000000}"/>
  <bookViews>
    <workbookView xWindow="-90" yWindow="0" windowWidth="10320" windowHeight="15370" firstSheet="2" activeTab="2" xr2:uid="{E923CC08-2F23-465F-A9BF-83E711AE1346}"/>
  </bookViews>
  <sheets>
    <sheet name="Task03a" sheetId="3" r:id="rId1"/>
    <sheet name="Task03b" sheetId="4" r:id="rId2"/>
    <sheet name="Task03c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3" i="1"/>
  <c r="E4" i="1"/>
  <c r="E5" i="1"/>
  <c r="E6" i="1"/>
  <c r="E7" i="1"/>
  <c r="E8" i="1"/>
  <c r="E9" i="1"/>
  <c r="E10" i="1"/>
  <c r="H3" i="4"/>
  <c r="E18" i="4"/>
  <c r="C16" i="3"/>
  <c r="E23" i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I3" i="4"/>
  <c r="I18" i="4" l="1"/>
  <c r="E21" i="1"/>
  <c r="E22" i="1"/>
  <c r="E20" i="1"/>
  <c r="E19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<sst xmlns="http://schemas.openxmlformats.org/spreadsheetml/2006/main" count="44" uniqueCount="23">
  <si>
    <t>x</t>
  </si>
  <si>
    <t>y</t>
  </si>
  <si>
    <t>Coeff. di Pearson</t>
  </si>
  <si>
    <t>T (°C)</t>
  </si>
  <si>
    <t>P_sat (kPa)</t>
  </si>
  <si>
    <t>P_sat (atm)</t>
  </si>
  <si>
    <t>V_l (l)</t>
  </si>
  <si>
    <t>Vg (l)</t>
  </si>
  <si>
    <t>Rank T</t>
  </si>
  <si>
    <t>Rank V_l</t>
  </si>
  <si>
    <t>Coefficiente di Pearson</t>
  </si>
  <si>
    <t>Coeff. di Spearman</t>
  </si>
  <si>
    <t>Giorno</t>
  </si>
  <si>
    <t xml:space="preserve">Traffico </t>
  </si>
  <si>
    <t>Lag (+7)</t>
  </si>
  <si>
    <t>Correlazione</t>
  </si>
  <si>
    <t>lun</t>
  </si>
  <si>
    <t>mar</t>
  </si>
  <si>
    <t>mer</t>
  </si>
  <si>
    <t>gio</t>
  </si>
  <si>
    <t>ven</t>
  </si>
  <si>
    <t>sab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</si>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</sst>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u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Display"/>
      <scheme val="major"/>
    </font>
    <font>
      <b/>
      <sz val="11"/>
      <color theme="1"/>
      <name val="Aptos Display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BE6FF"/>
        <bgColor indexed="64"/>
      </patternFill>
    </fill>
    <fill>
      <patternFill patternType="solid">
        <fgColor rgb="FF69FFD7"/>
        <bgColor indexed="64"/>
      </patternFill>
    </fill>
    <fill>
      <patternFill patternType="solid">
        <fgColor rgb="FFD9FFF5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2" borderId="0" xfId="0" applyFont="1" applyFill="1" applyBorder="1" applyAlignment="1">
      <alignment horizontal="center"/>
    </xf>
    <xf numFmtId="0" fontId="4" fillId="0" borderId="0" xfId="0" applyFont="1"/>
    <xf numFmtId="0" fontId="4" fillId="2" borderId="0" xfId="0" applyFont="1" applyFill="1" applyBorder="1" applyAlignment="1">
      <alignment horizontal="center"/>
    </xf>
    <xf numFmtId="0" fontId="5" fillId="0" borderId="0" xfId="0" applyFont="1"/>
    <xf numFmtId="0" fontId="6" fillId="2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2" fillId="3" borderId="0" xfId="0" applyFont="1" applyFill="1" applyBorder="1" applyAlignment="1">
      <alignment horizontal="center"/>
    </xf>
    <xf numFmtId="0" fontId="0" fillId="3" borderId="4" xfId="0" applyFill="1" applyBorder="1"/>
    <xf numFmtId="0" fontId="1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/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0" xfId="0" applyFill="1" applyBorder="1"/>
    <xf numFmtId="0" fontId="0" fillId="4" borderId="1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8" xfId="0" applyFont="1" applyBorder="1" applyAlignment="1"/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" fillId="2" borderId="18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/>
    <xf numFmtId="0" fontId="4" fillId="4" borderId="4" xfId="0" applyFont="1" applyFill="1" applyBorder="1"/>
    <xf numFmtId="0" fontId="4" fillId="4" borderId="22" xfId="0" applyFont="1" applyFill="1" applyBorder="1"/>
    <xf numFmtId="0" fontId="4" fillId="5" borderId="4" xfId="0" applyFont="1" applyFill="1" applyBorder="1"/>
    <xf numFmtId="0" fontId="4" fillId="5" borderId="22" xfId="0" applyFont="1" applyFill="1" applyBorder="1"/>
    <xf numFmtId="0" fontId="4" fillId="4" borderId="3" xfId="0" applyFont="1" applyFill="1" applyBorder="1"/>
    <xf numFmtId="0" fontId="4" fillId="5" borderId="17" xfId="0" applyFont="1" applyFill="1" applyBorder="1"/>
    <xf numFmtId="0" fontId="4" fillId="5" borderId="19" xfId="0" applyFont="1" applyFill="1" applyBorder="1"/>
    <xf numFmtId="0" fontId="6" fillId="6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</cellXfs>
  <cellStyles count="1">
    <cellStyle name="Normale" xfId="0" builtinId="0"/>
  </cellStyles>
  <dxfs count="2"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fill>
        <patternFill patternType="solid">
          <fgColor indexed="64"/>
          <bgColor rgb="FF2BE6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D9FFF5"/>
      <color rgb="FFA1FFE6"/>
      <color rgb="FF69FFD7"/>
      <color rgb="FF2BE6FF"/>
      <color rgb="FFA34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y = |x|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340FF"/>
              </a:solidFill>
              <a:ln w="9525">
                <a:solidFill>
                  <a:srgbClr val="000099"/>
                </a:solidFill>
              </a:ln>
              <a:effectLst/>
            </c:spPr>
          </c:marker>
          <c:xVal>
            <c:numRef>
              <c:f>Task03a!$B$3:$B$15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Task03a!$C$3:$C$15</c:f>
              <c:numCache>
                <c:formatCode>General</c:formatCode>
                <c:ptCount val="13"/>
                <c:pt idx="0">
                  <c:v>3</c:v>
                </c:pt>
                <c:pt idx="1">
                  <c:v>2.5</c:v>
                </c:pt>
                <c:pt idx="2">
                  <c:v>2</c:v>
                </c:pt>
                <c:pt idx="3">
                  <c:v>1.5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E-497F-8DA7-7F29D210C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554416"/>
        <c:axId val="1995002080"/>
      </c:scatterChart>
      <c:valAx>
        <c:axId val="34655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5002080"/>
        <c:crosses val="autoZero"/>
        <c:crossBetween val="midCat"/>
        <c:majorUnit val="1"/>
      </c:valAx>
      <c:valAx>
        <c:axId val="1995002080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655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Vl ( I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Pt>
            <c:idx val="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F33-497F-A1C8-12B8FBCC20D1}"/>
              </c:ext>
            </c:extLst>
          </c:dPt>
          <c:trendline>
            <c:spPr>
              <a:ln w="2540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Task03b!$B$3:$B$17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250</c:v>
                </c:pt>
                <c:pt idx="13">
                  <c:v>300</c:v>
                </c:pt>
                <c:pt idx="14">
                  <c:v>374</c:v>
                </c:pt>
              </c:numCache>
            </c:numRef>
          </c:xVal>
          <c:yVal>
            <c:numRef>
              <c:f>Task03b!$E$3:$E$17</c:f>
              <c:numCache>
                <c:formatCode>General</c:formatCode>
                <c:ptCount val="15"/>
                <c:pt idx="0">
                  <c:v>1.7899999999999999E-2</c:v>
                </c:pt>
                <c:pt idx="1">
                  <c:v>1.7899999999999999E-2</c:v>
                </c:pt>
                <c:pt idx="2">
                  <c:v>1.7899999999999999E-2</c:v>
                </c:pt>
                <c:pt idx="3">
                  <c:v>1.7899999999999999E-2</c:v>
                </c:pt>
                <c:pt idx="4">
                  <c:v>1.7899999999999999E-2</c:v>
                </c:pt>
                <c:pt idx="5">
                  <c:v>1.7999999999999999E-2</c:v>
                </c:pt>
                <c:pt idx="6">
                  <c:v>1.7999999999999999E-2</c:v>
                </c:pt>
                <c:pt idx="7">
                  <c:v>1.83E-2</c:v>
                </c:pt>
                <c:pt idx="8">
                  <c:v>1.8499999999999999E-2</c:v>
                </c:pt>
                <c:pt idx="9">
                  <c:v>1.8700000000000001E-2</c:v>
                </c:pt>
                <c:pt idx="10">
                  <c:v>1.9599999999999999E-2</c:v>
                </c:pt>
                <c:pt idx="11">
                  <c:v>0.20699999999999999</c:v>
                </c:pt>
                <c:pt idx="12">
                  <c:v>2.24E-2</c:v>
                </c:pt>
                <c:pt idx="13">
                  <c:v>2.52E-2</c:v>
                </c:pt>
                <c:pt idx="14">
                  <c:v>5.7000000000000002E-2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3-497F-A1C8-12B8FBCC2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755744"/>
        <c:axId val="2041757184"/>
      </c:scatterChart>
      <c:valAx>
        <c:axId val="204175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1757184"/>
        <c:crosses val="autoZero"/>
        <c:crossBetween val="midCat"/>
      </c:valAx>
      <c:valAx>
        <c:axId val="204175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175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>
                <a:latin typeface="Arial Narrow" panose="020B0606020202030204" pitchFamily="34" charset="0"/>
              </a:rPr>
              <a:t>Traffico a Milano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7428750892734"/>
          <c:y val="0.11479439315987941"/>
          <c:w val="0.83550038470473498"/>
          <c:h val="0.77710574062696702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E11-47E8-8E2E-E0CC874FE3E6}"/>
              </c:ext>
            </c:extLst>
          </c:dPt>
          <c:xVal>
            <c:strRef>
              <c:f>Task03c!$B$3:$B$30</c:f>
              <c:strCache>
                <c:ptCount val="28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  <c:pt idx="7">
                  <c:v>lun</c:v>
                </c:pt>
                <c:pt idx="8">
                  <c:v>mar</c:v>
                </c:pt>
                <c:pt idx="9">
                  <c:v>mer</c:v>
                </c:pt>
                <c:pt idx="10">
                  <c:v>gio</c:v>
                </c:pt>
                <c:pt idx="11">
                  <c:v>ven</c:v>
                </c:pt>
                <c:pt idx="12">
                  <c:v>sab</c:v>
                </c:pt>
                <c:pt idx="13">
                  <c:v>dom</c:v>
                </c:pt>
                <c:pt idx="14">
                  <c:v>lun</c:v>
                </c:pt>
                <c:pt idx="15">
                  <c:v>mar</c:v>
                </c:pt>
                <c:pt idx="16">
                  <c:v>mer</c:v>
                </c:pt>
                <c:pt idx="17">
                  <c:v>gio</c:v>
                </c:pt>
                <c:pt idx="18">
                  <c:v>ven</c:v>
                </c:pt>
                <c:pt idx="19">
                  <c:v>sab</c:v>
                </c:pt>
                <c:pt idx="20">
                  <c:v>dom</c:v>
                </c:pt>
                <c:pt idx="21">
                  <c:v>lun</c:v>
                </c:pt>
                <c:pt idx="22">
                  <c:v>mar</c:v>
                </c:pt>
                <c:pt idx="23">
                  <c:v>mer</c:v>
                </c:pt>
                <c:pt idx="24">
                  <c:v>gio</c:v>
                </c:pt>
                <c:pt idx="25">
                  <c:v>ven</c:v>
                </c:pt>
                <c:pt idx="26">
                  <c:v>sab</c:v>
                </c:pt>
                <c:pt idx="27">
                  <c:v>dom</c:v>
                </c:pt>
              </c:strCache>
            </c:strRef>
          </c:xVal>
          <c:yVal>
            <c:numRef>
              <c:f>Task03c!$C$3:$C$30</c:f>
              <c:numCache>
                <c:formatCode>General</c:formatCode>
                <c:ptCount val="28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80</c:v>
                </c:pt>
                <c:pt idx="4">
                  <c:v>90</c:v>
                </c:pt>
                <c:pt idx="5">
                  <c:v>60</c:v>
                </c:pt>
                <c:pt idx="6">
                  <c:v>40</c:v>
                </c:pt>
                <c:pt idx="7">
                  <c:v>105</c:v>
                </c:pt>
                <c:pt idx="8">
                  <c:v>95</c:v>
                </c:pt>
                <c:pt idx="9">
                  <c:v>80</c:v>
                </c:pt>
                <c:pt idx="10">
                  <c:v>85</c:v>
                </c:pt>
                <c:pt idx="11">
                  <c:v>95</c:v>
                </c:pt>
                <c:pt idx="12">
                  <c:v>60</c:v>
                </c:pt>
                <c:pt idx="13">
                  <c:v>35</c:v>
                </c:pt>
                <c:pt idx="14">
                  <c:v>100</c:v>
                </c:pt>
                <c:pt idx="15">
                  <c:v>90</c:v>
                </c:pt>
                <c:pt idx="16">
                  <c:v>75</c:v>
                </c:pt>
                <c:pt idx="17">
                  <c:v>80</c:v>
                </c:pt>
                <c:pt idx="18">
                  <c:v>90</c:v>
                </c:pt>
                <c:pt idx="19">
                  <c:v>65</c:v>
                </c:pt>
                <c:pt idx="20">
                  <c:v>40</c:v>
                </c:pt>
                <c:pt idx="21">
                  <c:v>105</c:v>
                </c:pt>
                <c:pt idx="22">
                  <c:v>90</c:v>
                </c:pt>
                <c:pt idx="23">
                  <c:v>80</c:v>
                </c:pt>
                <c:pt idx="24">
                  <c:v>85</c:v>
                </c:pt>
                <c:pt idx="25">
                  <c:v>90</c:v>
                </c:pt>
                <c:pt idx="26">
                  <c:v>55</c:v>
                </c:pt>
                <c:pt idx="2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C-4B3B-9062-15A2DB74E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50703"/>
        <c:axId val="260952143"/>
      </c:scatterChart>
      <c:valAx>
        <c:axId val="26095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rgbClr val="000099"/>
                    </a:solidFill>
                  </a:rPr>
                  <a:t>Giorni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52143"/>
        <c:crosses val="autoZero"/>
        <c:crossBetween val="midCat"/>
      </c:valAx>
      <c:valAx>
        <c:axId val="260952143"/>
        <c:scaling>
          <c:orientation val="minMax"/>
          <c:max val="11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rgbClr val="000099"/>
                    </a:solidFill>
                  </a:rPr>
                  <a:t>Indice Traffico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50703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>
                <a:latin typeface="Arial Narrow" panose="020B0606020202030204" pitchFamily="34" charset="0"/>
              </a:rPr>
              <a:t>Autocorrelazione </a:t>
            </a:r>
          </a:p>
        </c:rich>
      </c:tx>
      <c:layout>
        <c:manualLayout>
          <c:xMode val="edge"/>
          <c:yMode val="edge"/>
          <c:x val="0.36554940763879085"/>
          <c:y val="2.9724636954332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5507330229041"/>
          <c:y val="0.11714791581090064"/>
          <c:w val="0.84245167473886495"/>
          <c:h val="0.78608242501132941"/>
        </c:manualLayout>
      </c:layout>
      <c:scatterChart>
        <c:scatterStyle val="lineMarker"/>
        <c:varyColors val="0"/>
        <c:ser>
          <c:idx val="0"/>
          <c:order val="0"/>
          <c:tx>
            <c:strRef>
              <c:f>Task03c!$E$2</c:f>
              <c:strCache>
                <c:ptCount val="1"/>
                <c:pt idx="0">
                  <c:v>Correlazione</c:v>
                </c:pt>
              </c:strCache>
            </c:strRef>
          </c:tx>
          <c:spPr>
            <a:ln w="15875" cap="rnd">
              <a:solidFill>
                <a:srgbClr val="A340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340FF"/>
              </a:solidFill>
              <a:ln w="9525">
                <a:solidFill>
                  <a:srgbClr val="000099"/>
                </a:solidFill>
                <a:round/>
              </a:ln>
              <a:effectLst/>
            </c:spPr>
          </c:marker>
          <c:yVal>
            <c:numRef>
              <c:f>Task03c!$E$3:$E$30</c:f>
              <c:numCache>
                <c:formatCode>General</c:formatCode>
                <c:ptCount val="28"/>
                <c:pt idx="0">
                  <c:v>-9.1130874822268726E-2</c:v>
                </c:pt>
                <c:pt idx="1">
                  <c:v>-0.55945848304725287</c:v>
                </c:pt>
                <c:pt idx="2">
                  <c:v>7.8428759305689839E-3</c:v>
                </c:pt>
                <c:pt idx="3">
                  <c:v>-2.3386802341670527E-2</c:v>
                </c:pt>
                <c:pt idx="4">
                  <c:v>-0.53425602798964889</c:v>
                </c:pt>
                <c:pt idx="5">
                  <c:v>0</c:v>
                </c:pt>
                <c:pt idx="6">
                  <c:v>0.99776398369463715</c:v>
                </c:pt>
                <c:pt idx="7">
                  <c:v>5.9307187189828151E-2</c:v>
                </c:pt>
                <c:pt idx="8">
                  <c:v>-0.43964072062058074</c:v>
                </c:pt>
                <c:pt idx="9">
                  <c:v>0.13896689444903412</c:v>
                </c:pt>
                <c:pt idx="10">
                  <c:v>8.1598674848280567E-2</c:v>
                </c:pt>
                <c:pt idx="11">
                  <c:v>-0.50841116218828419</c:v>
                </c:pt>
                <c:pt idx="12">
                  <c:v>-0.13955520567399701</c:v>
                </c:pt>
                <c:pt idx="13">
                  <c:v>0.99032719121759649</c:v>
                </c:pt>
                <c:pt idx="14">
                  <c:v>-9.3681331770312376E-2</c:v>
                </c:pt>
                <c:pt idx="15">
                  <c:v>-0.55657732404714988</c:v>
                </c:pt>
                <c:pt idx="16">
                  <c:v>4.6904092679119817E-2</c:v>
                </c:pt>
                <c:pt idx="17">
                  <c:v>-2.4665033482744764E-2</c:v>
                </c:pt>
                <c:pt idx="18">
                  <c:v>-0.46589507689629028</c:v>
                </c:pt>
                <c:pt idx="19">
                  <c:v>9.2442717172426483E-2</c:v>
                </c:pt>
                <c:pt idx="20">
                  <c:v>0.99460055657802726</c:v>
                </c:pt>
                <c:pt idx="21">
                  <c:v>0.6497983230676313</c:v>
                </c:pt>
                <c:pt idx="22">
                  <c:v>5.1315800579078544E-2</c:v>
                </c:pt>
                <c:pt idx="23">
                  <c:v>0.82205045921810882</c:v>
                </c:pt>
                <c:pt idx="24">
                  <c:v>0.98782916114726194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9-4AC9-AE9F-33AE55134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26031"/>
        <c:axId val="1186327951"/>
      </c:scatterChart>
      <c:valAx>
        <c:axId val="118632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rgbClr val="000099"/>
                    </a:solidFill>
                  </a:rPr>
                  <a:t>Shift in Giorni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0099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7951"/>
        <c:crosses val="autoZero"/>
        <c:crossBetween val="midCat"/>
      </c:valAx>
      <c:valAx>
        <c:axId val="118632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rgbClr val="000099"/>
                    </a:solidFill>
                  </a:rPr>
                  <a:t>Coeff. Autocorrelazione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0099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19050</xdr:rowOff>
    </xdr:from>
    <xdr:to>
      <xdr:col>7</xdr:col>
      <xdr:colOff>400050</xdr:colOff>
      <xdr:row>15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429DA3E-9305-5945-E0D9-B4D504790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400459</xdr:colOff>
      <xdr:row>1</xdr:row>
      <xdr:rowOff>28575</xdr:rowOff>
    </xdr:from>
    <xdr:to>
      <xdr:col>18</xdr:col>
      <xdr:colOff>219075</xdr:colOff>
      <xdr:row>18</xdr:row>
      <xdr:rowOff>53235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04EA3BA-7D99-6528-DB45-6BCB6C4D1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418918</xdr:colOff>
      <xdr:row>2</xdr:row>
      <xdr:rowOff>87986</xdr:rowOff>
    </xdr:from>
    <xdr:to>
      <xdr:col>13</xdr:col>
      <xdr:colOff>339944</xdr:colOff>
      <xdr:row>25</xdr:row>
      <xdr:rowOff>78142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B66D258-F978-C4C2-565C-BC06787D0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449943</xdr:colOff>
      <xdr:row>2</xdr:row>
      <xdr:rowOff>7586</xdr:rowOff>
    </xdr:from>
    <xdr:to>
      <xdr:col>22</xdr:col>
      <xdr:colOff>161871</xdr:colOff>
      <xdr:row>25</xdr:row>
      <xdr:rowOff>1942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42A03821-3543-3D39-EAA1-E17BD093D468}"/>
            </a:ext>
            <a:ext uri="{147F2762-F138-4A5C-976F-8EAC2B608ADB}">
              <a16:predDERef xmlns:a16="http://schemas.microsoft.com/office/drawing/2014/main" pred="{6B66D258-F978-C4C2-565C-BC06787D0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EB2B9-A059-4D57-8208-12A363F14ADA}" name="Tabella1" displayName="Tabella1" ref="B2:C16" totalsRowShown="0" headerRowDxfId="1" tableBorderDxfId="0">
  <autoFilter ref="B2:C16" xr:uid="{135EB2B9-A059-4D57-8208-12A363F14ADA}"/>
  <tableColumns count="2">
    <tableColumn id="1" xr3:uid="{5C620F76-6430-430B-9F92-6552D9FF0BEC}" name="x"/>
    <tableColumn id="2" xr3:uid="{2C31EC7F-7D1F-436B-AB55-050BD04E11D9}" name="y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Gradazioni di grigio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E28C-4C4A-4CAA-B1BA-9BA58B590D14}">
  <dimension ref="B1:G21"/>
  <sheetViews>
    <sheetView zoomScale="126" zoomScaleNormal="126" workbookViewId="0">
      <selection activeCell="P20" sqref="P20"/>
    </sheetView>
  </sheetViews>
  <sheetFormatPr defaultColWidth="8.7109375" defaultRowHeight="14.1"/>
  <cols>
    <col min="1" max="1" width="12" style="1" customWidth="1"/>
    <col min="2" max="3" width="17.140625" style="1" customWidth="1"/>
    <col min="4" max="4" width="13.140625" style="1" customWidth="1"/>
    <col min="5" max="5" width="13.7109375" style="1" customWidth="1"/>
    <col min="6" max="6" width="13" style="1" customWidth="1"/>
    <col min="7" max="7" width="13" style="1" bestFit="1" customWidth="1"/>
    <col min="8" max="16384" width="8.7109375" style="1"/>
  </cols>
  <sheetData>
    <row r="1" spans="2:7" ht="16.5">
      <c r="E1" s="10"/>
      <c r="F1" s="10"/>
      <c r="G1" s="10"/>
    </row>
    <row r="2" spans="2:7" ht="16.5">
      <c r="B2" s="9" t="s">
        <v>0</v>
      </c>
      <c r="C2" s="9" t="s">
        <v>1</v>
      </c>
      <c r="E2" s="12"/>
      <c r="F2" s="12"/>
      <c r="G2" s="13"/>
    </row>
    <row r="3" spans="2:7" ht="16.5">
      <c r="B3" s="6">
        <v>-3</v>
      </c>
      <c r="C3" s="6">
        <v>3</v>
      </c>
      <c r="D3" s="7"/>
      <c r="E3" s="14"/>
      <c r="F3" s="14"/>
      <c r="G3" s="14"/>
    </row>
    <row r="4" spans="2:7" ht="16.5">
      <c r="B4" s="6">
        <v>-2.5</v>
      </c>
      <c r="C4" s="6">
        <v>2.5</v>
      </c>
      <c r="D4" s="5"/>
      <c r="E4" s="14"/>
      <c r="F4" s="14"/>
      <c r="G4" s="14"/>
    </row>
    <row r="5" spans="2:7" ht="16.5">
      <c r="B5" s="6">
        <v>-2</v>
      </c>
      <c r="C5" s="6">
        <v>2</v>
      </c>
      <c r="D5" s="5"/>
      <c r="E5" s="14"/>
      <c r="F5" s="14"/>
      <c r="G5" s="14"/>
    </row>
    <row r="6" spans="2:7" ht="16.5">
      <c r="B6" s="6">
        <v>-1.5</v>
      </c>
      <c r="C6" s="6">
        <v>1.5</v>
      </c>
      <c r="D6" s="5"/>
      <c r="E6" s="14"/>
      <c r="F6" s="14"/>
      <c r="G6" s="14"/>
    </row>
    <row r="7" spans="2:7" ht="16.5">
      <c r="B7" s="6">
        <v>-1</v>
      </c>
      <c r="C7" s="6">
        <v>1</v>
      </c>
      <c r="D7" s="5"/>
      <c r="E7" s="14"/>
      <c r="F7" s="14"/>
      <c r="G7" s="14"/>
    </row>
    <row r="8" spans="2:7" ht="16.5">
      <c r="B8" s="6">
        <v>-0.5</v>
      </c>
      <c r="C8" s="6">
        <v>0.5</v>
      </c>
      <c r="D8" s="5"/>
      <c r="E8" s="14"/>
      <c r="F8" s="14"/>
      <c r="G8" s="14"/>
    </row>
    <row r="9" spans="2:7" ht="16.5">
      <c r="B9" s="6">
        <v>0</v>
      </c>
      <c r="C9" s="6">
        <v>0</v>
      </c>
      <c r="D9" s="5"/>
      <c r="E9" s="14"/>
      <c r="F9" s="14"/>
      <c r="G9" s="14"/>
    </row>
    <row r="10" spans="2:7" ht="16.5">
      <c r="B10" s="6">
        <v>0.5</v>
      </c>
      <c r="C10" s="6">
        <v>0.5</v>
      </c>
      <c r="D10" s="5"/>
      <c r="E10" s="14"/>
      <c r="F10" s="14"/>
      <c r="G10" s="14"/>
    </row>
    <row r="11" spans="2:7" ht="16.5">
      <c r="B11" s="6">
        <v>1</v>
      </c>
      <c r="C11" s="6">
        <v>1</v>
      </c>
      <c r="D11" s="5"/>
      <c r="E11" s="14"/>
      <c r="F11" s="14"/>
      <c r="G11" s="14"/>
    </row>
    <row r="12" spans="2:7" ht="16.5">
      <c r="B12" s="6">
        <v>1.5</v>
      </c>
      <c r="C12" s="6">
        <v>1.5</v>
      </c>
      <c r="D12" s="5"/>
      <c r="E12" s="14"/>
      <c r="F12" s="14"/>
      <c r="G12" s="14"/>
    </row>
    <row r="13" spans="2:7" ht="16.5">
      <c r="B13" s="6">
        <v>2</v>
      </c>
      <c r="C13" s="6">
        <v>2</v>
      </c>
      <c r="D13" s="5"/>
      <c r="E13" s="14"/>
      <c r="F13" s="14"/>
      <c r="G13" s="14"/>
    </row>
    <row r="14" spans="2:7" ht="16.5">
      <c r="B14" s="6">
        <v>2.5</v>
      </c>
      <c r="C14" s="6">
        <v>2.5</v>
      </c>
      <c r="D14" s="5"/>
      <c r="E14" s="14"/>
      <c r="F14" s="14"/>
      <c r="G14" s="14"/>
    </row>
    <row r="15" spans="2:7" ht="16.5">
      <c r="B15" s="6">
        <v>3</v>
      </c>
      <c r="C15" s="6">
        <v>3</v>
      </c>
      <c r="D15" s="5"/>
      <c r="E15" s="14"/>
      <c r="F15" s="14"/>
      <c r="G15" s="14"/>
    </row>
    <row r="16" spans="2:7" ht="16.5">
      <c r="B16" s="8" t="s">
        <v>2</v>
      </c>
      <c r="C16" s="16">
        <f>ROUND(CORREL(B3:B15,C3:C15),7)</f>
        <v>0</v>
      </c>
      <c r="E16" s="15"/>
      <c r="F16" s="11"/>
      <c r="G16" s="11"/>
    </row>
    <row r="17" ht="16.5"/>
    <row r="18" ht="16.5"/>
    <row r="19" ht="16.5"/>
    <row r="20" ht="16.5"/>
    <row r="21" ht="16.5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BD1B-F7BE-4783-8F53-2B5C433782BE}">
  <dimension ref="B1:J22"/>
  <sheetViews>
    <sheetView zoomScale="129" workbookViewId="0">
      <selection activeCell="W23" sqref="W23"/>
    </sheetView>
  </sheetViews>
  <sheetFormatPr defaultRowHeight="14.45"/>
  <cols>
    <col min="2" max="6" width="10.28515625" customWidth="1"/>
    <col min="7" max="7" width="11.140625" customWidth="1"/>
    <col min="8" max="9" width="17" customWidth="1"/>
    <col min="10" max="10" width="11.85546875" customWidth="1"/>
  </cols>
  <sheetData>
    <row r="1" spans="2:10" ht="14.45" customHeight="1"/>
    <row r="2" spans="2:10" ht="15"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H2" s="24" t="s">
        <v>8</v>
      </c>
      <c r="I2" s="25" t="s">
        <v>9</v>
      </c>
      <c r="J2" s="23"/>
    </row>
    <row r="3" spans="2:10" ht="14.45" customHeight="1">
      <c r="B3" s="30">
        <v>0</v>
      </c>
      <c r="C3" s="31">
        <v>0.61</v>
      </c>
      <c r="D3" s="31">
        <v>6.3E-3</v>
      </c>
      <c r="E3" s="31">
        <v>1.7899999999999999E-2</v>
      </c>
      <c r="F3" s="32">
        <v>3700000</v>
      </c>
      <c r="H3" s="26">
        <f>_xlfn.RANK.AVG(B3,$B$3:$B$17,1)</f>
        <v>1</v>
      </c>
      <c r="I3" s="22">
        <f>_xlfn.RANK.AVG(E3,$E$3:$E$17,1)</f>
        <v>3</v>
      </c>
      <c r="J3" s="23"/>
    </row>
    <row r="4" spans="2:10" ht="14.45" customHeight="1">
      <c r="B4" s="33">
        <v>5</v>
      </c>
      <c r="C4" s="34">
        <v>0.87</v>
      </c>
      <c r="D4" s="34">
        <v>6.3E-3</v>
      </c>
      <c r="E4" s="34">
        <v>1.7899999999999999E-2</v>
      </c>
      <c r="F4" s="35">
        <v>2640000</v>
      </c>
      <c r="H4" s="27">
        <f>_xlfn.RANK.AVG(B4,$B$3:$B$17,1)</f>
        <v>2</v>
      </c>
      <c r="I4" s="22">
        <f>_xlfn.RANK.AVG(E4,$E$3:$E$17,1)</f>
        <v>3</v>
      </c>
      <c r="J4" s="23"/>
    </row>
    <row r="5" spans="2:10" ht="14.45" customHeight="1">
      <c r="B5" s="33">
        <v>10</v>
      </c>
      <c r="C5" s="34">
        <v>1.23</v>
      </c>
      <c r="D5" s="34">
        <v>1.21E-2</v>
      </c>
      <c r="E5" s="34">
        <v>1.7899999999999999E-2</v>
      </c>
      <c r="F5" s="35">
        <v>1910000</v>
      </c>
      <c r="H5" s="27">
        <f>_xlfn.RANK.AVG(B5,$B$3:$B$17,1)</f>
        <v>3</v>
      </c>
      <c r="I5" s="22">
        <f>_xlfn.RANK.AVG(E5,$E$3:$E$17,1)</f>
        <v>3</v>
      </c>
      <c r="J5" s="23"/>
    </row>
    <row r="6" spans="2:10" ht="14.45" customHeight="1">
      <c r="B6" s="33">
        <v>15</v>
      </c>
      <c r="C6" s="34">
        <v>1.7</v>
      </c>
      <c r="D6" s="34">
        <v>1.6799999999999999E-2</v>
      </c>
      <c r="E6" s="34">
        <v>1.7899999999999999E-2</v>
      </c>
      <c r="F6" s="35">
        <v>1400000</v>
      </c>
      <c r="H6" s="27">
        <f>_xlfn.RANK.AVG(B6,$B$3:$B$17,1)</f>
        <v>4</v>
      </c>
      <c r="I6" s="22">
        <f>_xlfn.RANK.AVG(E6,$E$3:$E$17,1)</f>
        <v>3</v>
      </c>
      <c r="J6" s="23"/>
    </row>
    <row r="7" spans="2:10" ht="14.45" customHeight="1">
      <c r="B7" s="33">
        <v>20</v>
      </c>
      <c r="C7" s="34">
        <v>2.33</v>
      </c>
      <c r="D7" s="34">
        <v>2.3E-2</v>
      </c>
      <c r="E7" s="34">
        <v>1.7899999999999999E-2</v>
      </c>
      <c r="F7" s="35">
        <v>1004000</v>
      </c>
      <c r="H7" s="27">
        <f>_xlfn.RANK.AVG(B7,$B$3:$B$17,1)</f>
        <v>5</v>
      </c>
      <c r="I7" s="22">
        <f>_xlfn.RANK.AVG(E7,$E$3:$E$17,1)</f>
        <v>3</v>
      </c>
      <c r="J7" s="23"/>
    </row>
    <row r="8" spans="2:10" ht="14.45" customHeight="1">
      <c r="B8" s="33">
        <v>30</v>
      </c>
      <c r="C8" s="34">
        <v>4.2300000000000004</v>
      </c>
      <c r="D8" s="34">
        <v>4.1799999999999997E-2</v>
      </c>
      <c r="E8" s="34">
        <v>1.7999999999999999E-2</v>
      </c>
      <c r="F8" s="35">
        <v>590000</v>
      </c>
      <c r="H8" s="27">
        <f>_xlfn.RANK.AVG(B8,$B$3:$B$17,1)</f>
        <v>6</v>
      </c>
      <c r="I8" s="22">
        <f>_xlfn.RANK.AVG(E8,$E$3:$E$17,1)</f>
        <v>6.5</v>
      </c>
      <c r="J8" s="23"/>
    </row>
    <row r="9" spans="2:10" ht="14.45" customHeight="1">
      <c r="B9" s="33">
        <v>40</v>
      </c>
      <c r="C9" s="34">
        <v>7.37</v>
      </c>
      <c r="D9" s="34">
        <v>7.2800000000000004E-2</v>
      </c>
      <c r="E9" s="34">
        <v>1.7999999999999999E-2</v>
      </c>
      <c r="F9" s="35">
        <v>350000</v>
      </c>
      <c r="H9" s="27">
        <f>_xlfn.RANK.AVG(B9,$B$3:$B$17,1)</f>
        <v>7</v>
      </c>
      <c r="I9" s="22">
        <f>_xlfn.RANK.AVG(E9,$E$3:$E$17,1)</f>
        <v>6.5</v>
      </c>
      <c r="J9" s="23"/>
    </row>
    <row r="10" spans="2:10" ht="14.45" customHeight="1">
      <c r="B10" s="33">
        <v>60</v>
      </c>
      <c r="C10" s="34">
        <v>19.850000000000001</v>
      </c>
      <c r="D10" s="34">
        <v>0.19600000000000001</v>
      </c>
      <c r="E10" s="34">
        <v>1.83E-2</v>
      </c>
      <c r="F10" s="35">
        <v>138000</v>
      </c>
      <c r="H10" s="27">
        <f>_xlfn.RANK.AVG(B10,$B$3:$B$17,1)</f>
        <v>8</v>
      </c>
      <c r="I10" s="22">
        <f>_xlfn.RANK.AVG(E10,$E$3:$E$17,1)</f>
        <v>8</v>
      </c>
      <c r="J10" s="23"/>
    </row>
    <row r="11" spans="2:10" ht="14.45" customHeight="1">
      <c r="B11" s="33">
        <v>80</v>
      </c>
      <c r="C11" s="34">
        <v>47.2</v>
      </c>
      <c r="D11" s="34">
        <v>0.46600000000000003</v>
      </c>
      <c r="E11" s="34">
        <v>1.8499999999999999E-2</v>
      </c>
      <c r="F11" s="35">
        <v>61100</v>
      </c>
      <c r="H11" s="27">
        <f>_xlfn.RANK.AVG(B11,$B$3:$B$17,1)</f>
        <v>9</v>
      </c>
      <c r="I11" s="22">
        <f>_xlfn.RANK.AVG(E11,$E$3:$E$17,1)</f>
        <v>9</v>
      </c>
      <c r="J11" s="23"/>
    </row>
    <row r="12" spans="2:10" ht="14.45" customHeight="1">
      <c r="B12" s="33">
        <v>100</v>
      </c>
      <c r="C12" s="34">
        <v>101.3</v>
      </c>
      <c r="D12" s="34">
        <v>1</v>
      </c>
      <c r="E12" s="34">
        <v>1.8700000000000001E-2</v>
      </c>
      <c r="F12" s="35">
        <v>30000</v>
      </c>
      <c r="H12" s="27">
        <f>_xlfn.RANK.AVG(B12,$B$3:$B$17,1)</f>
        <v>10</v>
      </c>
      <c r="I12" s="22">
        <f>_xlfn.RANK.AVG(E12,$E$3:$E$17,1)</f>
        <v>10</v>
      </c>
      <c r="J12" s="23"/>
    </row>
    <row r="13" spans="2:10" ht="14.45" customHeight="1">
      <c r="B13" s="33">
        <v>150</v>
      </c>
      <c r="C13" s="34">
        <v>475.8</v>
      </c>
      <c r="D13" s="34">
        <v>4.6900000000000004</v>
      </c>
      <c r="E13" s="34">
        <v>1.9599999999999999E-2</v>
      </c>
      <c r="F13" s="35">
        <v>7040</v>
      </c>
      <c r="H13" s="27">
        <f>_xlfn.RANK.AVG(B13,$B$3:$B$17,1)</f>
        <v>11</v>
      </c>
      <c r="I13" s="22">
        <f>_xlfn.RANK.AVG(E13,$E$3:$E$17,1)</f>
        <v>11</v>
      </c>
      <c r="J13" s="23"/>
    </row>
    <row r="14" spans="2:10" ht="14.45" customHeight="1">
      <c r="B14" s="33">
        <v>200</v>
      </c>
      <c r="C14" s="34">
        <v>1554</v>
      </c>
      <c r="D14" s="34">
        <v>15.3</v>
      </c>
      <c r="E14" s="34">
        <v>0.20699999999999999</v>
      </c>
      <c r="F14" s="35">
        <v>22800</v>
      </c>
      <c r="H14" s="27">
        <f>_xlfn.RANK.AVG(B14,$B$3:$B$17,1)</f>
        <v>12</v>
      </c>
      <c r="I14" s="22">
        <f>_xlfn.RANK.AVG(E14,$E$3:$E$17,1)</f>
        <v>15</v>
      </c>
      <c r="J14" s="23"/>
    </row>
    <row r="15" spans="2:10" ht="14.45" customHeight="1">
      <c r="B15" s="33">
        <v>250</v>
      </c>
      <c r="C15" s="34">
        <v>3973</v>
      </c>
      <c r="D15" s="34">
        <v>39.200000000000003</v>
      </c>
      <c r="E15" s="34">
        <v>2.24E-2</v>
      </c>
      <c r="F15" s="35">
        <v>0.89700000000000002</v>
      </c>
      <c r="H15" s="27">
        <f>_xlfn.RANK.AVG(B15,$B$3:$B$17,1)</f>
        <v>13</v>
      </c>
      <c r="I15" s="22">
        <f>_xlfn.RANK.AVG(E15,$E$3:$E$17,1)</f>
        <v>12</v>
      </c>
      <c r="J15" s="23"/>
    </row>
    <row r="16" spans="2:10" ht="15">
      <c r="B16" s="33">
        <v>300</v>
      </c>
      <c r="C16" s="34">
        <v>8581</v>
      </c>
      <c r="D16" s="34">
        <v>84.8</v>
      </c>
      <c r="E16" s="34">
        <v>2.52E-2</v>
      </c>
      <c r="F16" s="35">
        <v>0.38900000000000001</v>
      </c>
      <c r="H16" s="27">
        <f>_xlfn.RANK.AVG(B16,$B$3:$B$17,1)</f>
        <v>14</v>
      </c>
      <c r="I16" s="22">
        <f>_xlfn.RANK.AVG(E16,$E$3:$E$17,1)</f>
        <v>13</v>
      </c>
      <c r="J16" s="23"/>
    </row>
    <row r="17" spans="2:10" ht="14.45" customHeight="1">
      <c r="B17" s="36">
        <v>374</v>
      </c>
      <c r="C17" s="37">
        <v>22113.8</v>
      </c>
      <c r="D17" s="37">
        <v>218.3</v>
      </c>
      <c r="E17" s="37">
        <v>5.7000000000000002E-2</v>
      </c>
      <c r="F17" s="38">
        <v>5.7000000000000002E-2</v>
      </c>
      <c r="H17" s="28">
        <f>_xlfn.RANK.AVG(B17,$B$3:$B$17,1)</f>
        <v>15</v>
      </c>
      <c r="I17" s="21">
        <f>_xlfn.RANK.AVG(E17,$E$3:$E$17,1)</f>
        <v>14</v>
      </c>
      <c r="J17" s="23"/>
    </row>
    <row r="18" spans="2:10" ht="14.45" customHeight="1">
      <c r="B18" s="18" t="s">
        <v>10</v>
      </c>
      <c r="C18" s="18"/>
      <c r="D18" s="18"/>
      <c r="E18" s="19">
        <f>PEARSON(B3:B17,E3:E17)</f>
        <v>0.36232374757359986</v>
      </c>
      <c r="F18" s="19"/>
      <c r="H18" s="29" t="s">
        <v>11</v>
      </c>
      <c r="I18" s="20">
        <f>PEARSON(H3:H17,I3:I17)</f>
        <v>0.95922882102724505</v>
      </c>
    </row>
    <row r="19" spans="2:10" ht="15"/>
    <row r="21" spans="2:10" ht="15"/>
    <row r="22" spans="2:10" ht="15"/>
  </sheetData>
  <mergeCells count="2">
    <mergeCell ref="E18:F18"/>
    <mergeCell ref="B18:D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844C-0434-4D32-8825-AD2555C9F8EA}">
  <dimension ref="B1:V37"/>
  <sheetViews>
    <sheetView tabSelected="1" topLeftCell="A5" zoomScale="70" zoomScaleNormal="70" workbookViewId="0">
      <selection activeCell="X35" sqref="X35"/>
    </sheetView>
  </sheetViews>
  <sheetFormatPr defaultRowHeight="14.45"/>
  <cols>
    <col min="4" max="4" width="11.7109375" customWidth="1"/>
    <col min="5" max="5" width="13.5703125" customWidth="1"/>
  </cols>
  <sheetData>
    <row r="1" spans="2:5" ht="15"/>
    <row r="2" spans="2:5" ht="15">
      <c r="B2" s="54" t="s">
        <v>12</v>
      </c>
      <c r="C2" s="52" t="s">
        <v>13</v>
      </c>
      <c r="D2" s="53" t="s">
        <v>14</v>
      </c>
      <c r="E2" s="55" t="s">
        <v>15</v>
      </c>
    </row>
    <row r="3" spans="2:5" ht="16.5">
      <c r="B3" s="45" t="s">
        <v>16</v>
      </c>
      <c r="C3" s="4">
        <v>100</v>
      </c>
      <c r="D3" s="2">
        <v>100</v>
      </c>
      <c r="E3" s="39">
        <f>CORREL(C3:C9,D4:D10)</f>
        <v>-9.1130874822268726E-2</v>
      </c>
    </row>
    <row r="4" spans="2:5" ht="16.5">
      <c r="B4" s="46" t="s">
        <v>17</v>
      </c>
      <c r="C4" s="40">
        <v>90</v>
      </c>
      <c r="D4" s="2">
        <v>90</v>
      </c>
      <c r="E4" s="39">
        <f>CORREL(C3:C9,D5:D11)</f>
        <v>-0.55945848304725287</v>
      </c>
    </row>
    <row r="5" spans="2:5" ht="16.5">
      <c r="B5" s="46" t="s">
        <v>18</v>
      </c>
      <c r="C5" s="40">
        <v>80</v>
      </c>
      <c r="D5" s="2">
        <v>80</v>
      </c>
      <c r="E5" s="39">
        <f>CORREL(C3:C9,D6:D12)</f>
        <v>7.8428759305689839E-3</v>
      </c>
    </row>
    <row r="6" spans="2:5" ht="16.5">
      <c r="B6" s="46" t="s">
        <v>19</v>
      </c>
      <c r="C6" s="40">
        <v>80</v>
      </c>
      <c r="D6" s="2">
        <v>80</v>
      </c>
      <c r="E6" s="39">
        <f>CORREL(C3:C9,D7:D13)</f>
        <v>-2.3386802341670527E-2</v>
      </c>
    </row>
    <row r="7" spans="2:5" ht="16.5">
      <c r="B7" s="46" t="s">
        <v>20</v>
      </c>
      <c r="C7" s="40">
        <v>90</v>
      </c>
      <c r="D7" s="2">
        <v>90</v>
      </c>
      <c r="E7" s="39">
        <f>CORREL(C3:C9,D8:D14)</f>
        <v>-0.53425602798964889</v>
      </c>
    </row>
    <row r="8" spans="2:5" ht="16.5">
      <c r="B8" s="46" t="s">
        <v>21</v>
      </c>
      <c r="C8" s="40">
        <v>60</v>
      </c>
      <c r="D8" s="2">
        <v>60</v>
      </c>
      <c r="E8" s="39">
        <f>CORREL(C3:C9,D9:D15)</f>
        <v>0</v>
      </c>
    </row>
    <row r="9" spans="2:5" ht="16.5">
      <c r="B9" s="46" t="s">
        <v>22</v>
      </c>
      <c r="C9" s="40">
        <v>40</v>
      </c>
      <c r="D9" s="2">
        <v>40</v>
      </c>
      <c r="E9" s="39">
        <f>CORREL(C3:C9,D10:D16)</f>
        <v>0.99776398369463715</v>
      </c>
    </row>
    <row r="10" spans="2:5" ht="16.5">
      <c r="B10" s="47" t="s">
        <v>16</v>
      </c>
      <c r="C10" s="40">
        <v>105</v>
      </c>
      <c r="D10" s="2">
        <v>105</v>
      </c>
      <c r="E10" s="39">
        <f>CORREL(C3:C9,D11:D17)</f>
        <v>5.9307187189828151E-2</v>
      </c>
    </row>
    <row r="11" spans="2:5" ht="16.5">
      <c r="B11" s="48" t="s">
        <v>17</v>
      </c>
      <c r="C11" s="40">
        <v>95</v>
      </c>
      <c r="D11" s="2">
        <v>95</v>
      </c>
      <c r="E11" s="39">
        <f>CORREL(C3:C9,D12:D18)</f>
        <v>-0.43964072062058074</v>
      </c>
    </row>
    <row r="12" spans="2:5" ht="16.5">
      <c r="B12" s="48" t="s">
        <v>18</v>
      </c>
      <c r="C12" s="40">
        <v>80</v>
      </c>
      <c r="D12" s="2">
        <v>80</v>
      </c>
      <c r="E12" s="39">
        <f>CORREL(C3:C9,D13:D19)</f>
        <v>0.13896689444903412</v>
      </c>
    </row>
    <row r="13" spans="2:5" ht="16.5">
      <c r="B13" s="48" t="s">
        <v>19</v>
      </c>
      <c r="C13" s="40">
        <v>85</v>
      </c>
      <c r="D13" s="2">
        <v>85</v>
      </c>
      <c r="E13" s="39">
        <f>CORREL(C3:C9,D14:D20)</f>
        <v>8.1598674848280567E-2</v>
      </c>
    </row>
    <row r="14" spans="2:5" ht="16.5">
      <c r="B14" s="48" t="s">
        <v>20</v>
      </c>
      <c r="C14" s="40">
        <v>95</v>
      </c>
      <c r="D14" s="2">
        <v>95</v>
      </c>
      <c r="E14" s="39">
        <f>CORREL(C3:C9,D15:D21)</f>
        <v>-0.50841116218828419</v>
      </c>
    </row>
    <row r="15" spans="2:5" ht="16.5">
      <c r="B15" s="48" t="s">
        <v>21</v>
      </c>
      <c r="C15" s="40">
        <v>60</v>
      </c>
      <c r="D15" s="2">
        <v>60</v>
      </c>
      <c r="E15" s="39">
        <f>CORREL(C3:C9,D16:D22)</f>
        <v>-0.13955520567399701</v>
      </c>
    </row>
    <row r="16" spans="2:5" ht="16.5">
      <c r="B16" s="48" t="s">
        <v>22</v>
      </c>
      <c r="C16" s="40">
        <v>35</v>
      </c>
      <c r="D16" s="2">
        <v>35</v>
      </c>
      <c r="E16" s="39">
        <f>CORREL(C3:C9,D17:D23)</f>
        <v>0.99032719121759649</v>
      </c>
    </row>
    <row r="17" spans="2:22" ht="16.5">
      <c r="B17" s="45" t="s">
        <v>16</v>
      </c>
      <c r="C17" s="40">
        <v>100</v>
      </c>
      <c r="D17" s="2">
        <v>100</v>
      </c>
      <c r="E17" s="39">
        <f>CORREL(C3:C9,D18:D24)</f>
        <v>-9.3681331770312376E-2</v>
      </c>
    </row>
    <row r="18" spans="2:22" ht="16.5">
      <c r="B18" s="46" t="s">
        <v>17</v>
      </c>
      <c r="C18" s="40">
        <v>90</v>
      </c>
      <c r="D18" s="2">
        <v>90</v>
      </c>
      <c r="E18" s="39">
        <f>CORREL(C3:C9,D19:D25)</f>
        <v>-0.55657732404714988</v>
      </c>
    </row>
    <row r="19" spans="2:22" ht="16.5">
      <c r="B19" s="46" t="s">
        <v>18</v>
      </c>
      <c r="C19" s="40">
        <v>75</v>
      </c>
      <c r="D19" s="2">
        <v>75</v>
      </c>
      <c r="E19" s="39">
        <f>CORREL(C3:C9,D20:D26)</f>
        <v>4.6904092679119817E-2</v>
      </c>
    </row>
    <row r="20" spans="2:22" ht="16.5">
      <c r="B20" s="46" t="s">
        <v>19</v>
      </c>
      <c r="C20" s="40">
        <v>80</v>
      </c>
      <c r="D20" s="2">
        <v>80</v>
      </c>
      <c r="E20" s="39">
        <f>CORREL(C3:C9,D21:D27)</f>
        <v>-2.4665033482744764E-2</v>
      </c>
    </row>
    <row r="21" spans="2:22" ht="16.5">
      <c r="B21" s="46" t="s">
        <v>20</v>
      </c>
      <c r="C21" s="40">
        <v>90</v>
      </c>
      <c r="D21" s="2">
        <v>90</v>
      </c>
      <c r="E21" s="39">
        <f>CORREL(C3:C9,D22:D28)</f>
        <v>-0.46589507689629028</v>
      </c>
    </row>
    <row r="22" spans="2:22" ht="16.5">
      <c r="B22" s="46" t="s">
        <v>21</v>
      </c>
      <c r="C22" s="40">
        <v>65</v>
      </c>
      <c r="D22" s="2">
        <v>65</v>
      </c>
      <c r="E22" s="39">
        <f>CORREL(C3:C9,D23:D29)</f>
        <v>9.2442717172426483E-2</v>
      </c>
    </row>
    <row r="23" spans="2:22" ht="16.5">
      <c r="B23" s="49" t="s">
        <v>22</v>
      </c>
      <c r="C23" s="40">
        <v>40</v>
      </c>
      <c r="D23" s="2">
        <v>40</v>
      </c>
      <c r="E23" s="39">
        <f>CORREL(C3:C9,D24:D30)</f>
        <v>0.99460055657802726</v>
      </c>
      <c r="V23" s="3"/>
    </row>
    <row r="24" spans="2:22" ht="16.5">
      <c r="B24" s="50" t="s">
        <v>16</v>
      </c>
      <c r="C24" s="40">
        <v>105</v>
      </c>
      <c r="D24" s="2">
        <v>105</v>
      </c>
      <c r="E24" s="39">
        <f>CORREL(C3:C9,D25:D31)</f>
        <v>0.6497983230676313</v>
      </c>
      <c r="O24" s="3"/>
    </row>
    <row r="25" spans="2:22" ht="16.5">
      <c r="B25" s="50" t="s">
        <v>17</v>
      </c>
      <c r="C25" s="40">
        <v>90</v>
      </c>
      <c r="D25" s="2">
        <v>90</v>
      </c>
      <c r="E25" s="39">
        <f>CORREL(C3:C9,D26:D32)</f>
        <v>5.1315800579078544E-2</v>
      </c>
    </row>
    <row r="26" spans="2:22" ht="16.5">
      <c r="B26" s="50" t="s">
        <v>18</v>
      </c>
      <c r="C26" s="40">
        <v>80</v>
      </c>
      <c r="D26" s="2">
        <v>80</v>
      </c>
      <c r="E26" s="39">
        <f>CORREL(C3:C9,D27:D33)</f>
        <v>0.82205045921810882</v>
      </c>
    </row>
    <row r="27" spans="2:22" ht="16.5">
      <c r="B27" s="50" t="s">
        <v>19</v>
      </c>
      <c r="C27" s="40">
        <v>85</v>
      </c>
      <c r="D27" s="2">
        <v>85</v>
      </c>
      <c r="E27" s="39">
        <f>CORREL(C3:C9,D28:D34)</f>
        <v>0.98782916114726194</v>
      </c>
    </row>
    <row r="28" spans="2:22" ht="16.5">
      <c r="B28" s="50" t="s">
        <v>20</v>
      </c>
      <c r="C28" s="40">
        <v>90</v>
      </c>
      <c r="D28" s="2">
        <v>90</v>
      </c>
      <c r="E28" s="41"/>
    </row>
    <row r="29" spans="2:22" ht="16.5">
      <c r="B29" s="50" t="s">
        <v>21</v>
      </c>
      <c r="C29" s="40">
        <v>55</v>
      </c>
      <c r="D29" s="2">
        <v>55</v>
      </c>
      <c r="E29" s="41"/>
    </row>
    <row r="30" spans="2:22" ht="16.5">
      <c r="B30" s="51" t="s">
        <v>22</v>
      </c>
      <c r="C30" s="42">
        <v>35</v>
      </c>
      <c r="D30" s="43">
        <v>35</v>
      </c>
      <c r="E30" s="44"/>
      <c r="J30" s="3"/>
    </row>
    <row r="31" spans="2:22" ht="15">
      <c r="L31" s="3"/>
    </row>
    <row r="32" spans="2:22">
      <c r="L32" s="3"/>
    </row>
    <row r="33" spans="6:13">
      <c r="F33" s="3"/>
    </row>
    <row r="37" spans="6:13">
      <c r="M37" s="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BCBD7ED679CF49911F870EDFA2B777" ma:contentTypeVersion="10" ma:contentTypeDescription="Create a new document." ma:contentTypeScope="" ma:versionID="0a69ce3133bc4637238cc17c4269f858">
  <xsd:schema xmlns:xsd="http://www.w3.org/2001/XMLSchema" xmlns:xs="http://www.w3.org/2001/XMLSchema" xmlns:p="http://schemas.microsoft.com/office/2006/metadata/properties" xmlns:ns3="976c5863-bbec-4df5-81d2-e5fb307e5615" targetNamespace="http://schemas.microsoft.com/office/2006/metadata/properties" ma:root="true" ma:fieldsID="d1cd5004571a7f840110b3ffb7075f97" ns3:_="">
    <xsd:import namespace="976c5863-bbec-4df5-81d2-e5fb307e56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c5863-bbec-4df5-81d2-e5fb307e5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c5863-bbec-4df5-81d2-e5fb307e56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940087-5EBE-4DDC-9B04-9C6CAC8F92FD}"/>
</file>

<file path=customXml/itemProps2.xml><?xml version="1.0" encoding="utf-8"?>
<ds:datastoreItem xmlns:ds="http://schemas.openxmlformats.org/officeDocument/2006/customXml" ds:itemID="{F391C821-6BCB-4E81-897D-52825C9BEF34}"/>
</file>

<file path=customXml/itemProps3.xml><?xml version="1.0" encoding="utf-8"?>
<ds:datastoreItem xmlns:ds="http://schemas.openxmlformats.org/officeDocument/2006/customXml" ds:itemID="{DD956A32-7C88-4696-87B6-AA43388F2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HIDRI MOHAMED TAHA</dc:creator>
  <cp:keywords/>
  <dc:description/>
  <cp:lastModifiedBy/>
  <cp:revision/>
  <dcterms:created xsi:type="dcterms:W3CDTF">2025-03-15T23:12:00Z</dcterms:created>
  <dcterms:modified xsi:type="dcterms:W3CDTF">2026-06-04T13:41:34Z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0x01010090BCBD7ED679CF49911F870EDFA2B777</vt:lpwstr>
  </property>
</Properties>
</file>