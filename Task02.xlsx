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BIG_DATA\"/>
    </mc:Choice>
  </mc:AlternateContent>
  <xr:revisionPtr revIDLastSave="0" documentId="8_{AB1E7676-AF43-4DC9-9AF5-F6CB26FFDB5B}" xr6:coauthVersionLast="47" xr6:coauthVersionMax="47" xr10:uidLastSave="{00000000-0000-0000-0000-000000000000}"/>
  <bookViews>
    <workbookView xWindow="-110" yWindow="-110" windowWidth="25820" windowHeight="15500" xr2:uid="{91A471D6-671E-45B4-BE54-8115B00F34ED}"/>
  </bookViews>
  <sheets>
    <sheet name="Foglio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H25" i="1"/>
  <c r="I4" i="1"/>
  <c r="H4" i="1"/>
  <c r="F26" i="1" l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4" i="1"/>
</calcChain>
</file>

<file path=xl/sharedStrings.xml><?xml version="1.0" encoding="utf-8"?>
<sst xmlns="http://schemas.openxmlformats.org/spreadsheetml/2006/main" count="12" uniqueCount="9">
  <si>
    <t>n device testati</t>
  </si>
  <si>
    <t>vita batteria (mesi)</t>
  </si>
  <si>
    <t>Produttore A</t>
  </si>
  <si>
    <t xml:space="preserve">Rilevazioni </t>
  </si>
  <si>
    <t>Media</t>
  </si>
  <si>
    <t>Dev.standard</t>
  </si>
  <si>
    <t>via batteria (mesi)</t>
  </si>
  <si>
    <t>Produttore B</t>
  </si>
  <si>
    <t>Rilevazione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</si>
</sst>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FFF1"/>
        <bgColor indexed="64"/>
      </patternFill>
    </fill>
    <fill>
      <patternFill patternType="solid">
        <fgColor rgb="FFD1FDFF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2" borderId="0" xfId="0" applyFill="1" applyBorder="1"/>
    <xf numFmtId="0" fontId="1" fillId="3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e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53DCE0"/>
      <color rgb="FF56C4B0"/>
      <color rgb="FFD1FDFF"/>
      <color rgb="FF73FAFF"/>
      <color rgb="FFB5F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Produttore A</a:t>
            </a:r>
          </a:p>
        </c:rich>
      </c:tx>
      <c:layout>
        <c:manualLayout>
          <c:xMode val="edge"/>
          <c:yMode val="edge"/>
          <c:x val="0.43120936757170547"/>
          <c:y val="2.8050974141861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53DCE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3FAFF"/>
              </a:solidFill>
              <a:ln w="9525">
                <a:solidFill>
                  <a:srgbClr val="588894"/>
                </a:solidFill>
                <a:prstDash val="solid"/>
              </a:ln>
              <a:effectLst/>
            </c:spPr>
          </c:marker>
          <c:xVal>
            <c:numRef>
              <c:f>Foglio1!$E$4:$E$19</c:f>
              <c:numCache>
                <c:formatCode>General</c:formatCode>
                <c:ptCount val="16"/>
                <c:pt idx="0">
                  <c:v>90</c:v>
                </c:pt>
                <c:pt idx="1">
                  <c:v>85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60</c:v>
                </c:pt>
                <c:pt idx="7">
                  <c:v>55</c:v>
                </c:pt>
                <c:pt idx="8">
                  <c:v>50</c:v>
                </c:pt>
                <c:pt idx="9">
                  <c:v>40</c:v>
                </c:pt>
                <c:pt idx="10">
                  <c:v>40</c:v>
                </c:pt>
                <c:pt idx="11">
                  <c:v>30</c:v>
                </c:pt>
                <c:pt idx="12">
                  <c:v>30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</c:numCache>
            </c:numRef>
          </c:xVal>
          <c:yVal>
            <c:numRef>
              <c:f>Foglio1!$F$4:$F$19</c:f>
              <c:numCache>
                <c:formatCode>General</c:formatCode>
                <c:ptCount val="16"/>
                <c:pt idx="0">
                  <c:v>4.0638517668618547E-3</c:v>
                </c:pt>
                <c:pt idx="1">
                  <c:v>5.6366134077554036E-3</c:v>
                </c:pt>
                <c:pt idx="2">
                  <c:v>5.6366134077554036E-3</c:v>
                </c:pt>
                <c:pt idx="3">
                  <c:v>7.4872355491360483E-3</c:v>
                </c:pt>
                <c:pt idx="4">
                  <c:v>1.1603701748296084E-2</c:v>
                </c:pt>
                <c:pt idx="5">
                  <c:v>1.1603701748296084E-2</c:v>
                </c:pt>
                <c:pt idx="6">
                  <c:v>1.5127356504362744E-2</c:v>
                </c:pt>
                <c:pt idx="7">
                  <c:v>1.6187529314154132E-2</c:v>
                </c:pt>
                <c:pt idx="8">
                  <c:v>1.658902836025896E-2</c:v>
                </c:pt>
                <c:pt idx="9">
                  <c:v>1.5302778088743715E-2</c:v>
                </c:pt>
                <c:pt idx="10">
                  <c:v>1.5302778088743715E-2</c:v>
                </c:pt>
                <c:pt idx="11">
                  <c:v>1.1874382501323381E-2</c:v>
                </c:pt>
                <c:pt idx="12">
                  <c:v>1.1874382501323381E-2</c:v>
                </c:pt>
                <c:pt idx="13">
                  <c:v>7.7507407675010305E-3</c:v>
                </c:pt>
                <c:pt idx="14">
                  <c:v>7.7507407675010305E-3</c:v>
                </c:pt>
                <c:pt idx="15">
                  <c:v>4.2556589095960294E-3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03-4A20-B302-3496D6B72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520784"/>
        <c:axId val="1377519344"/>
      </c:scatterChart>
      <c:valAx>
        <c:axId val="137752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7519344"/>
        <c:crosses val="autoZero"/>
        <c:crossBetween val="midCat"/>
      </c:valAx>
      <c:valAx>
        <c:axId val="137751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752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Produttore B</a:t>
            </a:r>
          </a:p>
        </c:rich>
      </c:tx>
      <c:layout>
        <c:manualLayout>
          <c:xMode val="edge"/>
          <c:yMode val="edge"/>
          <c:x val="0.41867051240603065"/>
          <c:y val="2.7846771744024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56C4B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5FFF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Foglio1!$E$25:$E$39</c:f>
              <c:numCache>
                <c:formatCode>General</c:formatCode>
                <c:ptCount val="1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49</c:v>
                </c:pt>
              </c:numCache>
            </c:numRef>
          </c:xVal>
          <c:yVal>
            <c:numRef>
              <c:f>Foglio1!$F$25:$F$39</c:f>
              <c:numCache>
                <c:formatCode>General</c:formatCode>
                <c:ptCount val="15"/>
                <c:pt idx="0">
                  <c:v>1.5432162573368895</c:v>
                </c:pt>
                <c:pt idx="1">
                  <c:v>1.5432162573368895</c:v>
                </c:pt>
                <c:pt idx="2">
                  <c:v>1.5432162573368895</c:v>
                </c:pt>
                <c:pt idx="3">
                  <c:v>1.5432162573368895</c:v>
                </c:pt>
                <c:pt idx="4">
                  <c:v>1.5432162573368895</c:v>
                </c:pt>
                <c:pt idx="5">
                  <c:v>1.5432162573368895</c:v>
                </c:pt>
                <c:pt idx="6">
                  <c:v>1.5432162573368895</c:v>
                </c:pt>
                <c:pt idx="7">
                  <c:v>1.5432162573368895</c:v>
                </c:pt>
                <c:pt idx="8">
                  <c:v>1.5432162573368895</c:v>
                </c:pt>
                <c:pt idx="9">
                  <c:v>1.5432162573368895</c:v>
                </c:pt>
                <c:pt idx="10">
                  <c:v>1.5432162573368895</c:v>
                </c:pt>
                <c:pt idx="11">
                  <c:v>1.5432162573368895</c:v>
                </c:pt>
                <c:pt idx="12">
                  <c:v>1.5432162573368895</c:v>
                </c:pt>
                <c:pt idx="13">
                  <c:v>1.5432162573368895</c:v>
                </c:pt>
                <c:pt idx="14">
                  <c:v>1.458397575688788E-3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F0-40DB-861F-0F3EFC7EA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329392"/>
        <c:axId val="1264326032"/>
      </c:scatterChart>
      <c:valAx>
        <c:axId val="1264329392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4326032"/>
        <c:crosses val="autoZero"/>
        <c:crossBetween val="midCat"/>
        <c:majorUnit val="10"/>
      </c:valAx>
      <c:valAx>
        <c:axId val="12643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432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595906</xdr:colOff>
      <xdr:row>1</xdr:row>
      <xdr:rowOff>28384</xdr:rowOff>
    </xdr:from>
    <xdr:to>
      <xdr:col>18</xdr:col>
      <xdr:colOff>570046</xdr:colOff>
      <xdr:row>19</xdr:row>
      <xdr:rowOff>4513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034F021-64FA-0FCB-EA2F-B1D24B3AAC6B}"/>
            </a:ext>
            <a:ext uri="{147F2762-F138-4A5C-976F-8EAC2B608ADB}">
              <a16:predDERef xmlns:a16="http://schemas.microsoft.com/office/drawing/2014/main" pred="{3447BD1C-4531-41A4-8EFE-29BEE3722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592577</xdr:colOff>
      <xdr:row>21</xdr:row>
      <xdr:rowOff>177647</xdr:rowOff>
    </xdr:from>
    <xdr:to>
      <xdr:col>18</xdr:col>
      <xdr:colOff>587221</xdr:colOff>
      <xdr:row>39</xdr:row>
      <xdr:rowOff>17176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273B745-A281-2529-EFED-812EFB2F6244}"/>
            </a:ext>
            <a:ext uri="{147F2762-F138-4A5C-976F-8EAC2B608ADB}">
              <a16:predDERef xmlns:a16="http://schemas.microsoft.com/office/drawing/2014/main" pred="{6034F021-64FA-0FCB-EA2F-B1D24B3AA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arah/Downloads/Cartel1.xlsx" TargetMode="External"/><Relationship Id="rId2" Type="http://schemas.openxmlformats.org/officeDocument/2006/relationships/externalLinkPath" Target="file:///C:\Users\sarah\Downloads\Cartel1.xlsx" TargetMode="External"/><Relationship Id="rId1" Type="http://schemas.openxmlformats.org/officeDocument/2006/relationships/externalLinkPath" Target="/Users/sarah/Downloads/Carte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7D686-2EE2-42D8-8A8F-EFA0D1230EE5}" name="Tabella1" displayName="Tabella1" ref="B2:C12" totalsRowShown="0" headerRowDxfId="11" dataDxfId="10" headerRowBorderDxfId="8" tableBorderDxfId="9" totalsRowBorderDxfId="7">
  <autoFilter ref="B2:C12" xr:uid="{95F7D686-2EE2-42D8-8A8F-EFA0D1230EE5}"/>
  <tableColumns count="2">
    <tableColumn id="1" xr3:uid="{7669DFE0-71BB-4562-AC35-179EE4AFD7AF}" name="n device testati" dataDxfId="6"/>
    <tableColumn id="2" xr3:uid="{59E6FB83-CD0C-4978-880D-26495F7286C9}" name="vita batteria (mesi)" dataDxfId="5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C9923-A77E-4653-B6A2-512101554664}" name="Tabella5" displayName="Tabella5" ref="B23:C25" totalsRowShown="0" headerRowDxfId="4" dataDxfId="3" tableBorderDxfId="2">
  <autoFilter ref="B23:C25" xr:uid="{CA5C9923-A77E-4653-B6A2-512101554664}"/>
  <tableColumns count="2">
    <tableColumn id="1" xr3:uid="{8C82A3D8-0D34-4D23-874D-F4E27D6A0808}" name="n device testati" dataDxfId="1"/>
    <tableColumn id="2" xr3:uid="{FD8B8FFA-A06A-4118-B08A-7877A8FD2634}" name="via batteria (mesi)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Viol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DC04-984F-4DF1-A01A-D047281EF52B}">
  <dimension ref="B1:I41"/>
  <sheetViews>
    <sheetView tabSelected="1" zoomScale="83" workbookViewId="0">
      <selection activeCell="I25" sqref="I25"/>
    </sheetView>
  </sheetViews>
  <sheetFormatPr defaultRowHeight="14.45"/>
  <cols>
    <col min="2" max="2" width="17.5703125" customWidth="1"/>
    <col min="3" max="3" width="20.42578125" customWidth="1"/>
    <col min="5" max="5" width="11.85546875" customWidth="1"/>
    <col min="6" max="6" width="14.7109375" customWidth="1"/>
    <col min="7" max="7" width="11.5703125" customWidth="1"/>
    <col min="8" max="8" width="11.42578125" customWidth="1"/>
    <col min="9" max="9" width="13.42578125" customWidth="1"/>
  </cols>
  <sheetData>
    <row r="1" spans="2:9" ht="15"/>
    <row r="2" spans="2:9" ht="15">
      <c r="B2" s="5" t="s">
        <v>0</v>
      </c>
      <c r="C2" s="6" t="s">
        <v>1</v>
      </c>
      <c r="E2" s="8" t="s">
        <v>2</v>
      </c>
      <c r="F2" s="22"/>
      <c r="G2" s="22"/>
      <c r="H2" s="22"/>
      <c r="I2" s="23"/>
    </row>
    <row r="3" spans="2:9" ht="14.45" customHeight="1">
      <c r="B3" s="3">
        <v>2</v>
      </c>
      <c r="C3" s="3">
        <v>85</v>
      </c>
      <c r="E3" s="9" t="s">
        <v>3</v>
      </c>
      <c r="F3" s="10"/>
      <c r="G3" s="11"/>
      <c r="H3" s="12" t="s">
        <v>4</v>
      </c>
      <c r="I3" s="13" t="s">
        <v>5</v>
      </c>
    </row>
    <row r="4" spans="2:9" ht="15">
      <c r="B4" s="4">
        <v>1</v>
      </c>
      <c r="C4" s="4">
        <v>80</v>
      </c>
      <c r="E4" s="14">
        <v>90</v>
      </c>
      <c r="F4" s="4">
        <f>NORMDIST(E4,$H$4,$I$4,)</f>
        <v>4.0638517668618547E-3</v>
      </c>
      <c r="G4" s="4"/>
      <c r="H4" s="4">
        <f>AVERAGE(E5:E19)</f>
        <v>49.666666666666664</v>
      </c>
      <c r="I4" s="15">
        <f>_xlfn.STDEV.P(E5:E19)</f>
        <v>24.046251729161909</v>
      </c>
    </row>
    <row r="5" spans="2:9" ht="15">
      <c r="B5" s="3">
        <v>2</v>
      </c>
      <c r="C5" s="3">
        <v>70</v>
      </c>
      <c r="E5" s="14">
        <v>85</v>
      </c>
      <c r="F5" s="4">
        <f t="shared" ref="F5:F19" si="0">NORMDIST(E5,$H$4,$I$4,)</f>
        <v>5.6366134077554036E-3</v>
      </c>
      <c r="G5" s="4"/>
      <c r="H5" s="4"/>
      <c r="I5" s="5"/>
    </row>
    <row r="6" spans="2:9" ht="15">
      <c r="B6" s="4">
        <v>1</v>
      </c>
      <c r="C6" s="4">
        <v>60</v>
      </c>
      <c r="E6" s="14">
        <v>85</v>
      </c>
      <c r="F6" s="4">
        <f t="shared" si="0"/>
        <v>5.6366134077554036E-3</v>
      </c>
      <c r="G6" s="4"/>
      <c r="H6" s="4"/>
      <c r="I6" s="5"/>
    </row>
    <row r="7" spans="2:9" ht="15">
      <c r="B7" s="3">
        <v>1</v>
      </c>
      <c r="C7" s="3">
        <v>55</v>
      </c>
      <c r="E7" s="14">
        <v>80</v>
      </c>
      <c r="F7" s="4">
        <f t="shared" si="0"/>
        <v>7.4872355491360483E-3</v>
      </c>
      <c r="G7" s="4"/>
      <c r="H7" s="4"/>
      <c r="I7" s="5"/>
    </row>
    <row r="8" spans="2:9" ht="15">
      <c r="B8" s="4">
        <v>1</v>
      </c>
      <c r="C8" s="4">
        <v>50</v>
      </c>
      <c r="E8" s="14">
        <v>70</v>
      </c>
      <c r="F8" s="4">
        <f t="shared" si="0"/>
        <v>1.1603701748296084E-2</v>
      </c>
      <c r="G8" s="4"/>
      <c r="H8" s="4"/>
      <c r="I8" s="5"/>
    </row>
    <row r="9" spans="2:9" ht="15">
      <c r="B9" s="3">
        <v>2</v>
      </c>
      <c r="C9" s="3">
        <v>40</v>
      </c>
      <c r="E9" s="14">
        <v>70</v>
      </c>
      <c r="F9" s="4">
        <f t="shared" si="0"/>
        <v>1.1603701748296084E-2</v>
      </c>
      <c r="G9" s="4"/>
      <c r="H9" s="4"/>
      <c r="I9" s="5"/>
    </row>
    <row r="10" spans="2:9" ht="15">
      <c r="B10" s="4">
        <v>2</v>
      </c>
      <c r="C10" s="4">
        <v>30</v>
      </c>
      <c r="E10" s="14">
        <v>60</v>
      </c>
      <c r="F10" s="4">
        <f t="shared" si="0"/>
        <v>1.5127356504362744E-2</v>
      </c>
      <c r="G10" s="4"/>
      <c r="H10" s="4"/>
      <c r="I10" s="5"/>
    </row>
    <row r="11" spans="2:9" ht="15">
      <c r="B11" s="3">
        <v>2</v>
      </c>
      <c r="C11" s="3">
        <v>20</v>
      </c>
      <c r="E11" s="14">
        <v>55</v>
      </c>
      <c r="F11" s="4">
        <f t="shared" si="0"/>
        <v>1.6187529314154132E-2</v>
      </c>
      <c r="G11" s="4"/>
      <c r="H11" s="4"/>
      <c r="I11" s="5"/>
    </row>
    <row r="12" spans="2:9" ht="15">
      <c r="B12" s="4">
        <v>1</v>
      </c>
      <c r="C12" s="4">
        <v>10</v>
      </c>
      <c r="E12" s="14">
        <v>50</v>
      </c>
      <c r="F12" s="4">
        <f t="shared" si="0"/>
        <v>1.658902836025896E-2</v>
      </c>
      <c r="G12" s="4"/>
      <c r="H12" s="4"/>
      <c r="I12" s="5"/>
    </row>
    <row r="13" spans="2:9" ht="15">
      <c r="E13" s="14">
        <v>40</v>
      </c>
      <c r="F13" s="4">
        <f t="shared" si="0"/>
        <v>1.5302778088743715E-2</v>
      </c>
      <c r="G13" s="4"/>
      <c r="H13" s="4"/>
      <c r="I13" s="5"/>
    </row>
    <row r="14" spans="2:9" ht="15">
      <c r="C14" s="1"/>
      <c r="E14" s="14">
        <v>40</v>
      </c>
      <c r="F14" s="4">
        <f t="shared" si="0"/>
        <v>1.5302778088743715E-2</v>
      </c>
      <c r="G14" s="4"/>
      <c r="H14" s="4"/>
      <c r="I14" s="5"/>
    </row>
    <row r="15" spans="2:9" ht="15">
      <c r="E15" s="14">
        <v>30</v>
      </c>
      <c r="F15" s="4">
        <f t="shared" si="0"/>
        <v>1.1874382501323381E-2</v>
      </c>
      <c r="G15" s="4"/>
      <c r="H15" s="4"/>
      <c r="I15" s="5"/>
    </row>
    <row r="16" spans="2:9" ht="15">
      <c r="E16" s="14">
        <v>30</v>
      </c>
      <c r="F16" s="4">
        <f t="shared" si="0"/>
        <v>1.1874382501323381E-2</v>
      </c>
      <c r="G16" s="4"/>
      <c r="H16" s="4"/>
      <c r="I16" s="5"/>
    </row>
    <row r="17" spans="2:9" ht="15">
      <c r="E17" s="14">
        <v>20</v>
      </c>
      <c r="F17" s="4">
        <f t="shared" si="0"/>
        <v>7.7507407675010305E-3</v>
      </c>
      <c r="G17" s="4"/>
      <c r="H17" s="4"/>
      <c r="I17" s="5"/>
    </row>
    <row r="18" spans="2:9" ht="15">
      <c r="E18" s="14">
        <v>20</v>
      </c>
      <c r="F18" s="4">
        <f t="shared" si="0"/>
        <v>7.7507407675010305E-3</v>
      </c>
      <c r="G18" s="4"/>
      <c r="H18" s="4"/>
      <c r="I18" s="5"/>
    </row>
    <row r="19" spans="2:9" ht="15">
      <c r="E19" s="16">
        <v>10</v>
      </c>
      <c r="F19" s="17">
        <f t="shared" si="0"/>
        <v>4.2556589095960294E-3</v>
      </c>
      <c r="G19" s="17"/>
      <c r="H19" s="17"/>
      <c r="I19" s="2"/>
    </row>
    <row r="22" spans="2:9" ht="15"/>
    <row r="23" spans="2:9" ht="14.45" customHeight="1">
      <c r="B23" s="4" t="s">
        <v>0</v>
      </c>
      <c r="C23" s="4" t="s">
        <v>6</v>
      </c>
      <c r="E23" s="18" t="s">
        <v>7</v>
      </c>
      <c r="F23" s="19"/>
      <c r="G23" s="19"/>
      <c r="H23" s="19"/>
      <c r="I23" s="20"/>
    </row>
    <row r="24" spans="2:9" ht="15">
      <c r="B24" s="7">
        <v>14</v>
      </c>
      <c r="C24" s="7">
        <v>50</v>
      </c>
      <c r="E24" s="21" t="s">
        <v>8</v>
      </c>
      <c r="F24" s="12"/>
      <c r="G24" s="4"/>
      <c r="H24" s="12" t="s">
        <v>4</v>
      </c>
      <c r="I24" s="13" t="s">
        <v>5</v>
      </c>
    </row>
    <row r="25" spans="2:9" ht="14.45" customHeight="1">
      <c r="B25" s="4">
        <v>1</v>
      </c>
      <c r="C25" s="4">
        <v>49</v>
      </c>
      <c r="E25" s="14">
        <v>50</v>
      </c>
      <c r="F25" s="4">
        <f>NORMDIST(E25,$H$25,$I$25,FALSE)</f>
        <v>1.5432162573368895</v>
      </c>
      <c r="G25" s="4"/>
      <c r="H25" s="11">
        <f>AVERAGE(E25:E39)</f>
        <v>49.93333333333333</v>
      </c>
      <c r="I25" s="5">
        <f>_xlfn.STDEV.P(E25:E39)</f>
        <v>0.24944382578492943</v>
      </c>
    </row>
    <row r="26" spans="2:9" ht="15">
      <c r="E26" s="14">
        <v>50</v>
      </c>
      <c r="F26" s="4">
        <f>NORMDIST(E26,$H$25,$I$25,FALSE)</f>
        <v>1.5432162573368895</v>
      </c>
      <c r="G26" s="4"/>
      <c r="H26" s="4"/>
      <c r="I26" s="5"/>
    </row>
    <row r="27" spans="2:9" ht="15">
      <c r="E27" s="14">
        <v>50</v>
      </c>
      <c r="F27" s="4">
        <f>NORMDIST(E27,$H$25,$I$25,FALSE)</f>
        <v>1.5432162573368895</v>
      </c>
      <c r="G27" s="4"/>
      <c r="H27" s="4"/>
      <c r="I27" s="5"/>
    </row>
    <row r="28" spans="2:9" ht="15">
      <c r="E28" s="14">
        <v>50</v>
      </c>
      <c r="F28" s="4">
        <f>NORMDIST(E28,$H$25,$I$25,FALSE)</f>
        <v>1.5432162573368895</v>
      </c>
      <c r="G28" s="4"/>
      <c r="H28" s="4"/>
      <c r="I28" s="5"/>
    </row>
    <row r="29" spans="2:9" ht="15">
      <c r="E29" s="14">
        <v>50</v>
      </c>
      <c r="F29" s="4">
        <f>NORMDIST(E29,$H$25,$I$25,FALSE)</f>
        <v>1.5432162573368895</v>
      </c>
      <c r="G29" s="4"/>
      <c r="H29" s="4"/>
      <c r="I29" s="5"/>
    </row>
    <row r="30" spans="2:9" ht="15">
      <c r="E30" s="14">
        <v>50</v>
      </c>
      <c r="F30" s="4">
        <f>NORMDIST(E30,$H$25,$I$25,FALSE)</f>
        <v>1.5432162573368895</v>
      </c>
      <c r="G30" s="4"/>
      <c r="H30" s="4"/>
      <c r="I30" s="5"/>
    </row>
    <row r="31" spans="2:9" ht="15">
      <c r="E31" s="14">
        <v>50</v>
      </c>
      <c r="F31" s="4">
        <f>NORMDIST(E31,$H$25,$I$25,FALSE)</f>
        <v>1.5432162573368895</v>
      </c>
      <c r="G31" s="4"/>
      <c r="H31" s="4"/>
      <c r="I31" s="5"/>
    </row>
    <row r="32" spans="2:9" ht="15">
      <c r="E32" s="14">
        <v>50</v>
      </c>
      <c r="F32" s="4">
        <f>NORMDIST(E32,$H$25,$I$25,FALSE)</f>
        <v>1.5432162573368895</v>
      </c>
      <c r="G32" s="4"/>
      <c r="H32" s="4"/>
      <c r="I32" s="5"/>
    </row>
    <row r="33" spans="5:9" ht="15">
      <c r="E33" s="14">
        <v>50</v>
      </c>
      <c r="F33" s="4">
        <f>NORMDIST(E33,$H$25,$I$25,FALSE)</f>
        <v>1.5432162573368895</v>
      </c>
      <c r="G33" s="4"/>
      <c r="H33" s="4"/>
      <c r="I33" s="5"/>
    </row>
    <row r="34" spans="5:9" ht="15">
      <c r="E34" s="14">
        <v>50</v>
      </c>
      <c r="F34" s="4">
        <f>NORMDIST(E34,$H$25,$I$25,FALSE)</f>
        <v>1.5432162573368895</v>
      </c>
      <c r="G34" s="4"/>
      <c r="H34" s="4"/>
      <c r="I34" s="5"/>
    </row>
    <row r="35" spans="5:9" ht="15">
      <c r="E35" s="14">
        <v>50</v>
      </c>
      <c r="F35" s="4">
        <f>NORMDIST(E35,$H$25,$I$25,FALSE)</f>
        <v>1.5432162573368895</v>
      </c>
      <c r="G35" s="4"/>
      <c r="H35" s="4"/>
      <c r="I35" s="5"/>
    </row>
    <row r="36" spans="5:9" ht="15">
      <c r="E36" s="14">
        <v>50</v>
      </c>
      <c r="F36" s="4">
        <f>NORMDIST(E36,$H$25,$I$25,FALSE)</f>
        <v>1.5432162573368895</v>
      </c>
      <c r="G36" s="4"/>
      <c r="H36" s="4"/>
      <c r="I36" s="5"/>
    </row>
    <row r="37" spans="5:9" ht="15">
      <c r="E37" s="14">
        <v>50</v>
      </c>
      <c r="F37" s="4">
        <f>NORMDIST(E37,$H$25,$I$25,FALSE)</f>
        <v>1.5432162573368895</v>
      </c>
      <c r="G37" s="4"/>
      <c r="H37" s="4"/>
      <c r="I37" s="5"/>
    </row>
    <row r="38" spans="5:9" ht="15">
      <c r="E38" s="14">
        <v>50</v>
      </c>
      <c r="F38" s="4">
        <f>NORMDIST(E38,$H$25,$I$25,FALSE)</f>
        <v>1.5432162573368895</v>
      </c>
      <c r="G38" s="4"/>
      <c r="H38" s="4"/>
      <c r="I38" s="5"/>
    </row>
    <row r="39" spans="5:9" ht="15">
      <c r="E39" s="16">
        <v>49</v>
      </c>
      <c r="F39" s="17">
        <f>NORMDIST(E39,$H$25,$I$25,FALSE)</f>
        <v>1.458397575688788E-3</v>
      </c>
      <c r="G39" s="17"/>
      <c r="H39" s="17"/>
      <c r="I39" s="2"/>
    </row>
    <row r="40" spans="5:9" ht="15"/>
    <row r="41" spans="5:9" ht="15"/>
  </sheetData>
  <mergeCells count="3">
    <mergeCell ref="E2:I2"/>
    <mergeCell ref="E3:F3"/>
    <mergeCell ref="E23:I23"/>
  </mergeCells>
  <pageMargins left="0.7" right="0.7" top="0.75" bottom="0.75" header="0.3" footer="0.3"/>
  <ignoredErrors>
    <ignoredError sqref="H4:I4" formulaRange="1"/>
  </ignoredErrors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BCBD7ED679CF49911F870EDFA2B777" ma:contentTypeVersion="9" ma:contentTypeDescription="Create a new document." ma:contentTypeScope="" ma:versionID="20f5e07bd6a06bdc449b0783c1e7c42b">
  <xsd:schema xmlns:xsd="http://www.w3.org/2001/XMLSchema" xmlns:xs="http://www.w3.org/2001/XMLSchema" xmlns:p="http://schemas.microsoft.com/office/2006/metadata/properties" xmlns:ns3="976c5863-bbec-4df5-81d2-e5fb307e5615" targetNamespace="http://schemas.microsoft.com/office/2006/metadata/properties" ma:root="true" ma:fieldsID="9b22b51f87b239a4bf50379f81804ef6" ns3:_="">
    <xsd:import namespace="976c5863-bbec-4df5-81d2-e5fb307e56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c5863-bbec-4df5-81d2-e5fb307e56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c5863-bbec-4df5-81d2-e5fb307e5615" xsi:nil="true"/>
  </documentManagement>
</p:properties>
</file>

<file path=customXml/itemProps1.xml><?xml version="1.0" encoding="utf-8"?>
<ds:datastoreItem xmlns:ds="http://schemas.openxmlformats.org/officeDocument/2006/customXml" ds:itemID="{8B940854-D8A5-40A8-A95C-D29A0EF5B46F}"/>
</file>

<file path=customXml/itemProps2.xml><?xml version="1.0" encoding="utf-8"?>
<ds:datastoreItem xmlns:ds="http://schemas.openxmlformats.org/officeDocument/2006/customXml" ds:itemID="{C5FAC95D-F985-4CBB-8FA0-8096037918C0}"/>
</file>

<file path=customXml/itemProps3.xml><?xml version="1.0" encoding="utf-8"?>
<ds:datastoreItem xmlns:ds="http://schemas.openxmlformats.org/officeDocument/2006/customXml" ds:itemID="{293F4532-7D69-48FA-891C-5231F43246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ABOU AZIZ SARA HESHAM ABDEL HA</dc:creator>
  <cp:keywords/>
  <dc:description/>
  <cp:lastModifiedBy/>
  <cp:revision/>
  <dcterms:created xsi:type="dcterms:W3CDTF">2025-03-03T19:47:38Z</dcterms:created>
  <dcterms:modified xsi:type="dcterms:W3CDTF">2026-06-04T09:15:38Z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0x01010090BCBD7ED679CF49911F870EDFA2B777</vt:lpwstr>
  </property>
</Properties>
</file>