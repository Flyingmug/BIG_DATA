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sarah\OneDrive\Documenti\"/>
    </mc:Choice>
  </mc:AlternateContent>
  <xr:revisionPtr revIDLastSave="0" documentId="8_{F2455BD5-C9AF-4F35-9ECF-1DCC532CF13E}" xr6:coauthVersionLast="47" xr6:coauthVersionMax="47" xr10:uidLastSave="{00000000-0000-0000-0000-000000000000}"/>
  <bookViews>
    <workbookView xWindow="-110" yWindow="-110" windowWidth="25820" windowHeight="15500" tabRatio="886" firstSheet="1" activeTab="1" xr2:uid="{C9F6E9DE-8806-4639-BDBC-C8F1D6658AF7}"/>
  </bookViews>
  <sheets>
    <sheet name="Dati" sheetId="9" r:id="rId1"/>
    <sheet name="Iterazioni" sheetId="1" r:id="rId2"/>
    <sheet name="Calcoli-iter-1" sheetId="2" r:id="rId3"/>
    <sheet name="Calcoli-iter-2" sheetId="3" r:id="rId4"/>
    <sheet name="Calcoli-iter-3" sheetId="5" r:id="rId5"/>
    <sheet name="Calcoli-iter-4" sheetId="4" r:id="rId6"/>
    <sheet name="Calcoli-iter-5" sheetId="7" r:id="rId7"/>
    <sheet name="Calcoli-iter-6" sheetId="11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D3" i="11"/>
  <c r="E3" i="11"/>
  <c r="F3" i="11"/>
  <c r="C4" i="11"/>
  <c r="D4" i="11"/>
  <c r="E4" i="11"/>
  <c r="F4" i="11"/>
  <c r="C5" i="11"/>
  <c r="D5" i="11"/>
  <c r="E5" i="11"/>
  <c r="F5" i="11"/>
  <c r="C6" i="11"/>
  <c r="D6" i="11"/>
  <c r="E6" i="11"/>
  <c r="F6" i="11"/>
  <c r="C7" i="11"/>
  <c r="D7" i="11"/>
  <c r="E7" i="11"/>
  <c r="F7" i="11"/>
  <c r="C8" i="11"/>
  <c r="D8" i="11"/>
  <c r="E8" i="11"/>
  <c r="F8" i="11"/>
  <c r="C9" i="11"/>
  <c r="D9" i="11"/>
  <c r="E9" i="11"/>
  <c r="F9" i="11"/>
  <c r="C10" i="11"/>
  <c r="D10" i="11"/>
  <c r="E10" i="11"/>
  <c r="F10" i="11"/>
  <c r="C11" i="11"/>
  <c r="D11" i="11"/>
  <c r="E11" i="11"/>
  <c r="F11" i="11"/>
  <c r="C12" i="11"/>
  <c r="D12" i="11"/>
  <c r="E12" i="11"/>
  <c r="F12" i="11"/>
  <c r="C13" i="11"/>
  <c r="D13" i="11"/>
  <c r="E13" i="11"/>
  <c r="F13" i="11"/>
  <c r="C14" i="11"/>
  <c r="D14" i="11"/>
  <c r="E14" i="11"/>
  <c r="F14" i="11"/>
  <c r="C15" i="11"/>
  <c r="D15" i="11"/>
  <c r="E15" i="11"/>
  <c r="F15" i="11"/>
  <c r="C16" i="11"/>
  <c r="D16" i="11"/>
  <c r="E16" i="11"/>
  <c r="F16" i="11"/>
  <c r="C17" i="11"/>
  <c r="D17" i="11"/>
  <c r="E17" i="11"/>
  <c r="F17" i="11"/>
  <c r="C18" i="11"/>
  <c r="D18" i="11"/>
  <c r="E18" i="11"/>
  <c r="F18" i="11"/>
  <c r="C19" i="11"/>
  <c r="D19" i="11"/>
  <c r="E19" i="11"/>
  <c r="F19" i="11"/>
  <c r="C20" i="11"/>
  <c r="D20" i="11"/>
  <c r="E20" i="11"/>
  <c r="F20" i="11"/>
  <c r="C21" i="11"/>
  <c r="D21" i="11"/>
  <c r="E21" i="11"/>
  <c r="F21" i="11"/>
  <c r="C22" i="11"/>
  <c r="D22" i="11"/>
  <c r="E22" i="11"/>
  <c r="F22" i="11"/>
  <c r="C23" i="11"/>
  <c r="D23" i="11"/>
  <c r="E23" i="11"/>
  <c r="F23" i="11"/>
  <c r="C24" i="11"/>
  <c r="D24" i="11"/>
  <c r="E24" i="11"/>
  <c r="F24" i="11"/>
  <c r="C25" i="11"/>
  <c r="D25" i="11"/>
  <c r="E25" i="11"/>
  <c r="F25" i="11"/>
  <c r="C26" i="11"/>
  <c r="D26" i="11"/>
  <c r="E26" i="11"/>
  <c r="F26" i="11"/>
  <c r="C27" i="11"/>
  <c r="D27" i="11"/>
  <c r="E27" i="11"/>
  <c r="F27" i="11"/>
  <c r="C28" i="11"/>
  <c r="D28" i="11"/>
  <c r="E28" i="11"/>
  <c r="F28" i="11"/>
  <c r="C29" i="11"/>
  <c r="D29" i="11"/>
  <c r="E29" i="11"/>
  <c r="F29" i="11"/>
  <c r="C30" i="11"/>
  <c r="D30" i="11"/>
  <c r="E30" i="11"/>
  <c r="F30" i="11"/>
  <c r="C31" i="11"/>
  <c r="D31" i="11"/>
  <c r="E31" i="11"/>
  <c r="F31" i="11"/>
  <c r="C32" i="11"/>
  <c r="D32" i="11"/>
  <c r="E32" i="11"/>
  <c r="F32" i="11"/>
  <c r="C33" i="11"/>
  <c r="D33" i="11"/>
  <c r="E33" i="11"/>
  <c r="F33" i="11"/>
  <c r="C34" i="11"/>
  <c r="D34" i="11"/>
  <c r="E34" i="11"/>
  <c r="F34" i="11"/>
  <c r="C35" i="11"/>
  <c r="D35" i="11"/>
  <c r="E35" i="11"/>
  <c r="F35" i="11"/>
  <c r="C36" i="11"/>
  <c r="D36" i="11"/>
  <c r="E36" i="11"/>
  <c r="F36" i="11"/>
  <c r="C37" i="11"/>
  <c r="D37" i="11"/>
  <c r="E37" i="11"/>
  <c r="F37" i="11"/>
  <c r="C38" i="11"/>
  <c r="D38" i="11"/>
  <c r="E38" i="11"/>
  <c r="F38" i="11"/>
  <c r="C39" i="11"/>
  <c r="D39" i="11"/>
  <c r="E39" i="11"/>
  <c r="F39" i="11"/>
  <c r="C40" i="11"/>
  <c r="D40" i="11"/>
  <c r="E40" i="11"/>
  <c r="F40" i="11"/>
  <c r="C41" i="11"/>
  <c r="D41" i="11"/>
  <c r="E41" i="11"/>
  <c r="F41" i="11"/>
  <c r="C42" i="11"/>
  <c r="D42" i="11"/>
  <c r="E42" i="11"/>
  <c r="F42" i="11"/>
  <c r="C43" i="11"/>
  <c r="D43" i="11"/>
  <c r="E43" i="11"/>
  <c r="F43" i="11"/>
  <c r="C44" i="11"/>
  <c r="D44" i="11"/>
  <c r="E44" i="11"/>
  <c r="F44" i="11"/>
  <c r="C45" i="11"/>
  <c r="D45" i="11"/>
  <c r="E45" i="11"/>
  <c r="F45" i="11"/>
  <c r="C46" i="11"/>
  <c r="D46" i="11"/>
  <c r="E46" i="11"/>
  <c r="F46" i="11"/>
  <c r="F2" i="11"/>
  <c r="E2" i="11"/>
  <c r="D2" i="11"/>
  <c r="C2" i="11"/>
  <c r="C3" i="7"/>
  <c r="D3" i="7"/>
  <c r="E3" i="7"/>
  <c r="F3" i="7"/>
  <c r="C4" i="7"/>
  <c r="D4" i="7"/>
  <c r="E4" i="7"/>
  <c r="F4" i="7"/>
  <c r="C5" i="7"/>
  <c r="D5" i="7"/>
  <c r="E5" i="7"/>
  <c r="F5" i="7"/>
  <c r="C6" i="7"/>
  <c r="D6" i="7"/>
  <c r="E6" i="7"/>
  <c r="F6" i="7"/>
  <c r="C7" i="7"/>
  <c r="D7" i="7"/>
  <c r="E7" i="7"/>
  <c r="F7" i="7"/>
  <c r="C8" i="7"/>
  <c r="D8" i="7"/>
  <c r="E8" i="7"/>
  <c r="F8" i="7"/>
  <c r="C9" i="7"/>
  <c r="D9" i="7"/>
  <c r="E9" i="7"/>
  <c r="F9" i="7"/>
  <c r="C10" i="7"/>
  <c r="D10" i="7"/>
  <c r="E10" i="7"/>
  <c r="F10" i="7"/>
  <c r="C11" i="7"/>
  <c r="D11" i="7"/>
  <c r="E11" i="7"/>
  <c r="F11" i="7"/>
  <c r="C12" i="7"/>
  <c r="D12" i="7"/>
  <c r="E12" i="7"/>
  <c r="F12" i="7"/>
  <c r="C13" i="7"/>
  <c r="D13" i="7"/>
  <c r="E13" i="7"/>
  <c r="F13" i="7"/>
  <c r="C14" i="7"/>
  <c r="D14" i="7"/>
  <c r="E14" i="7"/>
  <c r="F14" i="7"/>
  <c r="C15" i="7"/>
  <c r="D15" i="7"/>
  <c r="E15" i="7"/>
  <c r="F15" i="7"/>
  <c r="C16" i="7"/>
  <c r="D16" i="7"/>
  <c r="E16" i="7"/>
  <c r="F16" i="7"/>
  <c r="C17" i="7"/>
  <c r="D17" i="7"/>
  <c r="E17" i="7"/>
  <c r="F17" i="7"/>
  <c r="C18" i="7"/>
  <c r="D18" i="7"/>
  <c r="E18" i="7"/>
  <c r="F18" i="7"/>
  <c r="C19" i="7"/>
  <c r="D19" i="7"/>
  <c r="E19" i="7"/>
  <c r="F19" i="7"/>
  <c r="C20" i="7"/>
  <c r="D20" i="7"/>
  <c r="E20" i="7"/>
  <c r="F20" i="7"/>
  <c r="C21" i="7"/>
  <c r="D21" i="7"/>
  <c r="E21" i="7"/>
  <c r="F21" i="7"/>
  <c r="C22" i="7"/>
  <c r="D22" i="7"/>
  <c r="E22" i="7"/>
  <c r="F22" i="7"/>
  <c r="C23" i="7"/>
  <c r="D23" i="7"/>
  <c r="E23" i="7"/>
  <c r="F23" i="7"/>
  <c r="C24" i="7"/>
  <c r="D24" i="7"/>
  <c r="E24" i="7"/>
  <c r="F24" i="7"/>
  <c r="C25" i="7"/>
  <c r="D25" i="7"/>
  <c r="E25" i="7"/>
  <c r="F25" i="7"/>
  <c r="C26" i="7"/>
  <c r="D26" i="7"/>
  <c r="E26" i="7"/>
  <c r="F26" i="7"/>
  <c r="C27" i="7"/>
  <c r="D27" i="7"/>
  <c r="E27" i="7"/>
  <c r="F27" i="7"/>
  <c r="C28" i="7"/>
  <c r="D28" i="7"/>
  <c r="E28" i="7"/>
  <c r="F28" i="7"/>
  <c r="C29" i="7"/>
  <c r="D29" i="7"/>
  <c r="E29" i="7"/>
  <c r="F29" i="7"/>
  <c r="C30" i="7"/>
  <c r="D30" i="7"/>
  <c r="E30" i="7"/>
  <c r="F30" i="7"/>
  <c r="C31" i="7"/>
  <c r="D31" i="7"/>
  <c r="E31" i="7"/>
  <c r="F31" i="7"/>
  <c r="C32" i="7"/>
  <c r="D32" i="7"/>
  <c r="E32" i="7"/>
  <c r="F32" i="7"/>
  <c r="C33" i="7"/>
  <c r="D33" i="7"/>
  <c r="E33" i="7"/>
  <c r="F33" i="7"/>
  <c r="C34" i="7"/>
  <c r="D34" i="7"/>
  <c r="E34" i="7"/>
  <c r="F34" i="7"/>
  <c r="C35" i="7"/>
  <c r="D35" i="7"/>
  <c r="E35" i="7"/>
  <c r="F35" i="7"/>
  <c r="C36" i="7"/>
  <c r="D36" i="7"/>
  <c r="E36" i="7"/>
  <c r="F36" i="7"/>
  <c r="C37" i="7"/>
  <c r="D37" i="7"/>
  <c r="E37" i="7"/>
  <c r="F37" i="7"/>
  <c r="C38" i="7"/>
  <c r="D38" i="7"/>
  <c r="E38" i="7"/>
  <c r="F38" i="7"/>
  <c r="C39" i="7"/>
  <c r="D39" i="7"/>
  <c r="E39" i="7"/>
  <c r="F39" i="7"/>
  <c r="C40" i="7"/>
  <c r="D40" i="7"/>
  <c r="E40" i="7"/>
  <c r="F40" i="7"/>
  <c r="C41" i="7"/>
  <c r="D41" i="7"/>
  <c r="E41" i="7"/>
  <c r="F41" i="7"/>
  <c r="C42" i="7"/>
  <c r="D42" i="7"/>
  <c r="E42" i="7"/>
  <c r="F42" i="7"/>
  <c r="C43" i="7"/>
  <c r="D43" i="7"/>
  <c r="E43" i="7"/>
  <c r="F43" i="7"/>
  <c r="C44" i="7"/>
  <c r="D44" i="7"/>
  <c r="E44" i="7"/>
  <c r="F44" i="7"/>
  <c r="C45" i="7"/>
  <c r="D45" i="7"/>
  <c r="E45" i="7"/>
  <c r="F45" i="7"/>
  <c r="C46" i="7"/>
  <c r="D46" i="7"/>
  <c r="E46" i="7"/>
  <c r="F46" i="7"/>
  <c r="F2" i="7"/>
  <c r="E2" i="7"/>
  <c r="D2" i="7"/>
  <c r="C2" i="7"/>
  <c r="F2" i="4"/>
  <c r="E2" i="4"/>
  <c r="D2" i="4"/>
  <c r="C2" i="4"/>
  <c r="C3" i="5"/>
  <c r="D3" i="5"/>
  <c r="E3" i="5"/>
  <c r="F3" i="5"/>
  <c r="C4" i="5"/>
  <c r="D4" i="5"/>
  <c r="E4" i="5"/>
  <c r="F4" i="5"/>
  <c r="C5" i="5"/>
  <c r="D5" i="5"/>
  <c r="E5" i="5"/>
  <c r="F5" i="5"/>
  <c r="C6" i="5"/>
  <c r="D6" i="5"/>
  <c r="E6" i="5"/>
  <c r="F6" i="5"/>
  <c r="C7" i="5"/>
  <c r="D7" i="5"/>
  <c r="E7" i="5"/>
  <c r="F7" i="5"/>
  <c r="C8" i="5"/>
  <c r="D8" i="5"/>
  <c r="E8" i="5"/>
  <c r="F8" i="5"/>
  <c r="C9" i="5"/>
  <c r="D9" i="5"/>
  <c r="E9" i="5"/>
  <c r="F9" i="5"/>
  <c r="C10" i="5"/>
  <c r="D10" i="5"/>
  <c r="E10" i="5"/>
  <c r="F10" i="5"/>
  <c r="C11" i="5"/>
  <c r="D11" i="5"/>
  <c r="E11" i="5"/>
  <c r="F11" i="5"/>
  <c r="C12" i="5"/>
  <c r="D12" i="5"/>
  <c r="E12" i="5"/>
  <c r="F12" i="5"/>
  <c r="C13" i="5"/>
  <c r="D13" i="5"/>
  <c r="E13" i="5"/>
  <c r="F13" i="5"/>
  <c r="C14" i="5"/>
  <c r="D14" i="5"/>
  <c r="E14" i="5"/>
  <c r="F14" i="5"/>
  <c r="C15" i="5"/>
  <c r="D15" i="5"/>
  <c r="E15" i="5"/>
  <c r="F15" i="5"/>
  <c r="C16" i="5"/>
  <c r="D16" i="5"/>
  <c r="E16" i="5"/>
  <c r="F16" i="5"/>
  <c r="C17" i="5"/>
  <c r="D17" i="5"/>
  <c r="E17" i="5"/>
  <c r="F17" i="5"/>
  <c r="C18" i="5"/>
  <c r="D18" i="5"/>
  <c r="E18" i="5"/>
  <c r="F18" i="5"/>
  <c r="C19" i="5"/>
  <c r="D19" i="5"/>
  <c r="E19" i="5"/>
  <c r="F19" i="5"/>
  <c r="C20" i="5"/>
  <c r="D20" i="5"/>
  <c r="E20" i="5"/>
  <c r="F20" i="5"/>
  <c r="C21" i="5"/>
  <c r="D21" i="5"/>
  <c r="E21" i="5"/>
  <c r="F21" i="5"/>
  <c r="C22" i="5"/>
  <c r="D22" i="5"/>
  <c r="E22" i="5"/>
  <c r="F22" i="5"/>
  <c r="C23" i="5"/>
  <c r="D23" i="5"/>
  <c r="E23" i="5"/>
  <c r="F23" i="5"/>
  <c r="C24" i="5"/>
  <c r="D24" i="5"/>
  <c r="E24" i="5"/>
  <c r="F24" i="5"/>
  <c r="C25" i="5"/>
  <c r="D25" i="5"/>
  <c r="E25" i="5"/>
  <c r="F25" i="5"/>
  <c r="C26" i="5"/>
  <c r="D26" i="5"/>
  <c r="E26" i="5"/>
  <c r="F26" i="5"/>
  <c r="C27" i="5"/>
  <c r="D27" i="5"/>
  <c r="E27" i="5"/>
  <c r="F27" i="5"/>
  <c r="C28" i="5"/>
  <c r="D28" i="5"/>
  <c r="E28" i="5"/>
  <c r="F28" i="5"/>
  <c r="C29" i="5"/>
  <c r="D29" i="5"/>
  <c r="E29" i="5"/>
  <c r="F29" i="5"/>
  <c r="C30" i="5"/>
  <c r="D30" i="5"/>
  <c r="E30" i="5"/>
  <c r="F30" i="5"/>
  <c r="C31" i="5"/>
  <c r="D31" i="5"/>
  <c r="E31" i="5"/>
  <c r="F31" i="5"/>
  <c r="C32" i="5"/>
  <c r="D32" i="5"/>
  <c r="E32" i="5"/>
  <c r="F32" i="5"/>
  <c r="C33" i="5"/>
  <c r="D33" i="5"/>
  <c r="E33" i="5"/>
  <c r="F33" i="5"/>
  <c r="C34" i="5"/>
  <c r="D34" i="5"/>
  <c r="E34" i="5"/>
  <c r="F34" i="5"/>
  <c r="C35" i="5"/>
  <c r="D35" i="5"/>
  <c r="E35" i="5"/>
  <c r="F35" i="5"/>
  <c r="C36" i="5"/>
  <c r="D36" i="5"/>
  <c r="E36" i="5"/>
  <c r="F36" i="5"/>
  <c r="C37" i="5"/>
  <c r="D37" i="5"/>
  <c r="E37" i="5"/>
  <c r="F37" i="5"/>
  <c r="C38" i="5"/>
  <c r="D38" i="5"/>
  <c r="E38" i="5"/>
  <c r="F38" i="5"/>
  <c r="C39" i="5"/>
  <c r="D39" i="5"/>
  <c r="E39" i="5"/>
  <c r="F39" i="5"/>
  <c r="C40" i="5"/>
  <c r="D40" i="5"/>
  <c r="E40" i="5"/>
  <c r="F40" i="5"/>
  <c r="C41" i="5"/>
  <c r="D41" i="5"/>
  <c r="E41" i="5"/>
  <c r="F41" i="5"/>
  <c r="C42" i="5"/>
  <c r="D42" i="5"/>
  <c r="E42" i="5"/>
  <c r="F42" i="5"/>
  <c r="C43" i="5"/>
  <c r="D43" i="5"/>
  <c r="E43" i="5"/>
  <c r="F43" i="5"/>
  <c r="C44" i="5"/>
  <c r="D44" i="5"/>
  <c r="E44" i="5"/>
  <c r="F44" i="5"/>
  <c r="C45" i="5"/>
  <c r="D45" i="5"/>
  <c r="E45" i="5"/>
  <c r="F45" i="5"/>
  <c r="C46" i="5"/>
  <c r="D46" i="5"/>
  <c r="E46" i="5"/>
  <c r="F46" i="5"/>
  <c r="F2" i="2"/>
  <c r="C2" i="3"/>
  <c r="C3" i="3"/>
  <c r="D3" i="3"/>
  <c r="E3" i="3"/>
  <c r="F3" i="3"/>
  <c r="C4" i="3"/>
  <c r="D4" i="3"/>
  <c r="E4" i="3"/>
  <c r="F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F2" i="3"/>
  <c r="D2" i="3"/>
  <c r="E2" i="3" s="1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  <c r="C34" i="2"/>
  <c r="D34" i="2"/>
  <c r="E34" i="2"/>
  <c r="F34" i="2"/>
  <c r="C35" i="2"/>
  <c r="D35" i="2"/>
  <c r="E35" i="2"/>
  <c r="F35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C41" i="2"/>
  <c r="D41" i="2"/>
  <c r="E41" i="2"/>
  <c r="F41" i="2"/>
  <c r="C42" i="2"/>
  <c r="D42" i="2"/>
  <c r="E42" i="2"/>
  <c r="F42" i="2"/>
  <c r="C43" i="2"/>
  <c r="D43" i="2"/>
  <c r="E43" i="2"/>
  <c r="F43" i="2"/>
  <c r="C44" i="2"/>
  <c r="D44" i="2"/>
  <c r="E44" i="2"/>
  <c r="F44" i="2"/>
  <c r="C45" i="2"/>
  <c r="D45" i="2"/>
  <c r="E45" i="2"/>
  <c r="F45" i="2"/>
  <c r="C46" i="2"/>
  <c r="D46" i="2"/>
  <c r="E46" i="2"/>
  <c r="F46" i="2"/>
  <c r="C3" i="2"/>
  <c r="D3" i="2"/>
  <c r="E3" i="2"/>
  <c r="F3" i="2"/>
  <c r="C4" i="2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E2" i="2"/>
  <c r="D2" i="2"/>
  <c r="C2" i="2"/>
  <c r="D7" i="1" l="1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F3" i="4" l="1"/>
  <c r="D3" i="4"/>
  <c r="E3" i="4" s="1"/>
  <c r="F4" i="4"/>
  <c r="D4" i="4"/>
  <c r="E4" i="4" s="1"/>
  <c r="F5" i="4"/>
  <c r="D5" i="4"/>
  <c r="E5" i="4" s="1"/>
  <c r="F6" i="4"/>
  <c r="D6" i="4"/>
  <c r="E6" i="4" s="1"/>
  <c r="F7" i="4"/>
  <c r="D7" i="4"/>
  <c r="E7" i="4" s="1"/>
  <c r="F8" i="4"/>
  <c r="D8" i="4"/>
  <c r="E8" i="4" s="1"/>
  <c r="F9" i="4"/>
  <c r="D9" i="4"/>
  <c r="E9" i="4" s="1"/>
  <c r="F10" i="4"/>
  <c r="D10" i="4"/>
  <c r="E10" i="4" s="1"/>
  <c r="F11" i="4"/>
  <c r="D11" i="4"/>
  <c r="E11" i="4" s="1"/>
  <c r="F12" i="4"/>
  <c r="D12" i="4"/>
  <c r="E12" i="4" s="1"/>
  <c r="F13" i="4"/>
  <c r="D13" i="4"/>
  <c r="E13" i="4" s="1"/>
  <c r="F14" i="4"/>
  <c r="D14" i="4"/>
  <c r="E14" i="4" s="1"/>
  <c r="F15" i="4"/>
  <c r="D15" i="4"/>
  <c r="E15" i="4" s="1"/>
  <c r="F16" i="4"/>
  <c r="D16" i="4"/>
  <c r="E16" i="4" s="1"/>
  <c r="F17" i="4"/>
  <c r="D17" i="4"/>
  <c r="E17" i="4" s="1"/>
  <c r="F18" i="4"/>
  <c r="D18" i="4"/>
  <c r="E18" i="4" s="1"/>
  <c r="F19" i="4"/>
  <c r="D19" i="4"/>
  <c r="E19" i="4" s="1"/>
  <c r="F20" i="4"/>
  <c r="D20" i="4"/>
  <c r="E20" i="4" s="1"/>
  <c r="F21" i="4"/>
  <c r="D21" i="4"/>
  <c r="E21" i="4" s="1"/>
  <c r="F22" i="4"/>
  <c r="D22" i="4"/>
  <c r="E22" i="4" s="1"/>
  <c r="F23" i="4"/>
  <c r="D23" i="4"/>
  <c r="E23" i="4" s="1"/>
  <c r="F24" i="4"/>
  <c r="D24" i="4"/>
  <c r="E24" i="4" s="1"/>
  <c r="F25" i="4"/>
  <c r="D25" i="4"/>
  <c r="E25" i="4" s="1"/>
  <c r="F26" i="4"/>
  <c r="D26" i="4"/>
  <c r="E26" i="4" s="1"/>
  <c r="F27" i="4"/>
  <c r="D27" i="4"/>
  <c r="E27" i="4" s="1"/>
  <c r="F28" i="4"/>
  <c r="D28" i="4"/>
  <c r="E28" i="4" s="1"/>
  <c r="F29" i="4"/>
  <c r="D29" i="4"/>
  <c r="E29" i="4" s="1"/>
  <c r="F30" i="4"/>
  <c r="D30" i="4"/>
  <c r="E30" i="4" s="1"/>
  <c r="F31" i="4"/>
  <c r="D31" i="4"/>
  <c r="E31" i="4" s="1"/>
  <c r="F32" i="4"/>
  <c r="D32" i="4"/>
  <c r="E32" i="4" s="1"/>
  <c r="F33" i="4"/>
  <c r="D33" i="4"/>
  <c r="E33" i="4" s="1"/>
  <c r="F34" i="4"/>
  <c r="D34" i="4"/>
  <c r="E34" i="4" s="1"/>
  <c r="F35" i="4"/>
  <c r="D35" i="4"/>
  <c r="E35" i="4" s="1"/>
  <c r="F36" i="4"/>
  <c r="D36" i="4"/>
  <c r="E36" i="4" s="1"/>
  <c r="F37" i="4"/>
  <c r="D37" i="4"/>
  <c r="E37" i="4" s="1"/>
  <c r="F38" i="4"/>
  <c r="D38" i="4"/>
  <c r="E38" i="4" s="1"/>
  <c r="F39" i="4"/>
  <c r="D39" i="4"/>
  <c r="E39" i="4" s="1"/>
  <c r="F40" i="4"/>
  <c r="D40" i="4"/>
  <c r="E40" i="4" s="1"/>
  <c r="F41" i="4"/>
  <c r="D41" i="4"/>
  <c r="E41" i="4" s="1"/>
  <c r="F42" i="4"/>
  <c r="D42" i="4"/>
  <c r="E42" i="4" s="1"/>
  <c r="F43" i="4"/>
  <c r="D43" i="4"/>
  <c r="E43" i="4" s="1"/>
  <c r="F44" i="4"/>
  <c r="D44" i="4"/>
  <c r="E44" i="4" s="1"/>
  <c r="F45" i="4"/>
  <c r="D45" i="4"/>
  <c r="E45" i="4" s="1"/>
  <c r="F46" i="4"/>
  <c r="D46" i="4"/>
  <c r="E46" i="4" s="1"/>
  <c r="D2" i="1"/>
  <c r="D5" i="1" l="1"/>
  <c r="D6" i="1"/>
  <c r="D3" i="1" l="1"/>
  <c r="C3" i="1"/>
  <c r="B3" i="1"/>
  <c r="B4" i="1" s="1"/>
  <c r="C4" i="1" l="1"/>
  <c r="C2" i="5" l="1"/>
  <c r="F2" i="5" l="1"/>
  <c r="D4" i="1" s="1"/>
  <c r="D2" i="5"/>
  <c r="E2" i="5" l="1"/>
  <c r="C5" i="1" s="1"/>
  <c r="C6" i="1" s="1"/>
  <c r="C7" i="1" s="1"/>
  <c r="B5" i="1"/>
  <c r="B6" i="1" s="1"/>
  <c r="B7" i="1" s="1"/>
</calcChain>
</file>

<file path=xl/sharedStrings.xml><?xml version="1.0" encoding="utf-8"?>
<sst xmlns="http://schemas.openxmlformats.org/spreadsheetml/2006/main" count="42" uniqueCount="12">
  <si>
    <t>Età (x)</t>
  </si>
  <si>
    <t>Obesità (y)</t>
  </si>
  <si>
    <t>Iterazioni</t>
  </si>
  <si>
    <t>Theta_0 (Bias)</t>
  </si>
  <si>
    <t>Theta_1 (Età)</t>
  </si>
  <si>
    <t>Log-Loss</t>
  </si>
  <si>
    <t>Età (X)</t>
  </si>
  <si>
    <t>Obesità (Y)</t>
  </si>
  <si>
    <t>Sigmoide</t>
  </si>
  <si>
    <t>Errore</t>
  </si>
  <si>
    <t>Errore*x</t>
  </si>
  <si>
    <t>LogLoss_i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</si>
</sst>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rgb="FF374151"/>
      <name val="Arial"/>
      <family val="2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1FDFF"/>
        <bgColor indexed="64"/>
      </patternFill>
    </fill>
    <fill>
      <patternFill patternType="solid">
        <fgColor rgb="FFF2CEE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0" borderId="11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2CEEF"/>
      <color rgb="FFD1FDFF"/>
      <color rgb="FF24DC47"/>
      <color rgb="FFFFFF66"/>
      <color rgb="FFEFB6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 Log-Loss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Iterazioni!$D$2:$D$7</c:f>
              <c:numCache>
                <c:formatCode>General</c:formatCode>
                <c:ptCount val="6"/>
                <c:pt idx="0">
                  <c:v>0.30099999999999999</c:v>
                </c:pt>
                <c:pt idx="1">
                  <c:v>0.97199999999999998</c:v>
                </c:pt>
                <c:pt idx="2">
                  <c:v>0.26500000000000001</c:v>
                </c:pt>
                <c:pt idx="3">
                  <c:v>0.85299999999999998</c:v>
                </c:pt>
                <c:pt idx="4">
                  <c:v>2.1989999999999998</c:v>
                </c:pt>
                <c:pt idx="5">
                  <c:v>1.4359999999999999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E-429D-9825-D002AEF83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72616"/>
        <c:axId val="35974664"/>
      </c:lineChart>
      <c:catAx>
        <c:axId val="35972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4664"/>
        <c:crosses val="autoZero"/>
        <c:auto val="1"/>
        <c:lblAlgn val="ctr"/>
        <c:lblOffset val="100"/>
        <c:noMultiLvlLbl val="0"/>
      </c:catAx>
      <c:valAx>
        <c:axId val="3597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2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16</xdr:row>
      <xdr:rowOff>28575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84193D7-0668-D8F6-1341-429BBD6A0D58}"/>
            </a:ext>
            <a:ext uri="{147F2762-F138-4A5C-976F-8EAC2B608ADB}">
              <a16:predDERef xmlns:a16="http://schemas.microsoft.com/office/drawing/2014/main" pred="{35C88625-56C2-5567-54D4-5CF3CC8B7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lia\Downloads\11b_2_Esempi_Excel_Regressione_Logistica_COMPLETO.xlsx" TargetMode="External"/><Relationship Id="rId1" Type="http://schemas.openxmlformats.org/officeDocument/2006/relationships/externalLinkPath" Target="file:///C:\Users\lilia\Downloads\11b_2_Esempi_Excel_Regressione_Logistica_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i"/>
      <sheetName val="Iterazioni"/>
      <sheetName val="Calcoli"/>
      <sheetName val="Calcoli (2)"/>
      <sheetName val="Calcoli (3)"/>
      <sheetName val="Calcoli (4)"/>
      <sheetName val="Calcoli (5)"/>
      <sheetName val="Calcoli (6)"/>
      <sheetName val="Calcoli (7)"/>
      <sheetName val="Calcoli (8)"/>
      <sheetName val="Calcoli (9)"/>
      <sheetName val="Calcoli (10)"/>
    </sheetNames>
    <sheetDataSet>
      <sheetData sheetId="0">
        <row r="2">
          <cell r="A2">
            <v>35</v>
          </cell>
          <cell r="B2">
            <v>0</v>
          </cell>
        </row>
        <row r="3">
          <cell r="A3">
            <v>45</v>
          </cell>
          <cell r="B3">
            <v>0</v>
          </cell>
        </row>
        <row r="4">
          <cell r="A4">
            <v>55</v>
          </cell>
          <cell r="B4">
            <v>0</v>
          </cell>
        </row>
        <row r="5">
          <cell r="A5">
            <v>25</v>
          </cell>
          <cell r="B5">
            <v>0</v>
          </cell>
        </row>
        <row r="6">
          <cell r="A6">
            <v>65</v>
          </cell>
          <cell r="B6">
            <v>1</v>
          </cell>
        </row>
        <row r="7">
          <cell r="A7">
            <v>80</v>
          </cell>
          <cell r="B7">
            <v>0</v>
          </cell>
        </row>
        <row r="8">
          <cell r="A8">
            <v>48</v>
          </cell>
          <cell r="B8">
            <v>0</v>
          </cell>
        </row>
        <row r="9">
          <cell r="A9">
            <v>82</v>
          </cell>
          <cell r="B9">
            <v>0</v>
          </cell>
        </row>
        <row r="10">
          <cell r="A10">
            <v>81</v>
          </cell>
          <cell r="B10">
            <v>0</v>
          </cell>
        </row>
        <row r="11">
          <cell r="A11">
            <v>73</v>
          </cell>
          <cell r="B11">
            <v>0</v>
          </cell>
        </row>
        <row r="12">
          <cell r="A12">
            <v>84</v>
          </cell>
          <cell r="B12">
            <v>1</v>
          </cell>
        </row>
        <row r="13">
          <cell r="A13">
            <v>62</v>
          </cell>
          <cell r="B13">
            <v>1</v>
          </cell>
        </row>
        <row r="14">
          <cell r="A14">
            <v>53</v>
          </cell>
          <cell r="B14">
            <v>0</v>
          </cell>
        </row>
        <row r="15">
          <cell r="A15">
            <v>76</v>
          </cell>
          <cell r="B15">
            <v>0</v>
          </cell>
        </row>
        <row r="16">
          <cell r="A16">
            <v>51</v>
          </cell>
          <cell r="B16">
            <v>0</v>
          </cell>
        </row>
        <row r="17">
          <cell r="A17">
            <v>80</v>
          </cell>
          <cell r="B17">
            <v>0</v>
          </cell>
        </row>
        <row r="18">
          <cell r="A18">
            <v>56</v>
          </cell>
          <cell r="B18">
            <v>0</v>
          </cell>
        </row>
        <row r="19">
          <cell r="A19">
            <v>49</v>
          </cell>
          <cell r="B19">
            <v>0</v>
          </cell>
        </row>
        <row r="20">
          <cell r="A20">
            <v>53</v>
          </cell>
          <cell r="B20">
            <v>0</v>
          </cell>
        </row>
        <row r="21">
          <cell r="A21">
            <v>63</v>
          </cell>
          <cell r="B21">
            <v>0</v>
          </cell>
        </row>
        <row r="22">
          <cell r="A22">
            <v>76</v>
          </cell>
          <cell r="B22">
            <v>0</v>
          </cell>
        </row>
        <row r="23">
          <cell r="A23">
            <v>34</v>
          </cell>
          <cell r="B23">
            <v>0</v>
          </cell>
        </row>
        <row r="24">
          <cell r="A24">
            <v>53</v>
          </cell>
          <cell r="B24">
            <v>0</v>
          </cell>
        </row>
        <row r="25">
          <cell r="A25">
            <v>39</v>
          </cell>
          <cell r="B25">
            <v>0</v>
          </cell>
        </row>
        <row r="26">
          <cell r="A26">
            <v>41</v>
          </cell>
          <cell r="B26">
            <v>0</v>
          </cell>
        </row>
        <row r="27">
          <cell r="A27">
            <v>64</v>
          </cell>
          <cell r="B27">
            <v>0</v>
          </cell>
        </row>
        <row r="28">
          <cell r="A28">
            <v>66</v>
          </cell>
          <cell r="B28">
            <v>0</v>
          </cell>
        </row>
        <row r="29">
          <cell r="A29">
            <v>79</v>
          </cell>
          <cell r="B29">
            <v>1</v>
          </cell>
        </row>
        <row r="30">
          <cell r="A30">
            <v>78</v>
          </cell>
          <cell r="B30">
            <v>0</v>
          </cell>
        </row>
        <row r="31">
          <cell r="A31">
            <v>74</v>
          </cell>
          <cell r="B31">
            <v>1</v>
          </cell>
        </row>
        <row r="32">
          <cell r="A32">
            <v>75</v>
          </cell>
          <cell r="B32">
            <v>0</v>
          </cell>
        </row>
        <row r="33">
          <cell r="A33">
            <v>83</v>
          </cell>
          <cell r="B33">
            <v>1</v>
          </cell>
        </row>
        <row r="34">
          <cell r="A34">
            <v>72</v>
          </cell>
          <cell r="B34">
            <v>0</v>
          </cell>
        </row>
        <row r="35">
          <cell r="A35">
            <v>51</v>
          </cell>
          <cell r="B35">
            <v>0</v>
          </cell>
        </row>
        <row r="36">
          <cell r="A36">
            <v>32</v>
          </cell>
          <cell r="B36">
            <v>0</v>
          </cell>
        </row>
        <row r="37">
          <cell r="A37">
            <v>34</v>
          </cell>
          <cell r="B37">
            <v>0</v>
          </cell>
        </row>
        <row r="38">
          <cell r="A38">
            <v>68</v>
          </cell>
          <cell r="B38">
            <v>0</v>
          </cell>
        </row>
        <row r="39">
          <cell r="A39">
            <v>51</v>
          </cell>
          <cell r="B39">
            <v>0</v>
          </cell>
        </row>
        <row r="40">
          <cell r="A40">
            <v>76</v>
          </cell>
          <cell r="B40">
            <v>1</v>
          </cell>
        </row>
        <row r="41">
          <cell r="A41">
            <v>72</v>
          </cell>
          <cell r="B41">
            <v>1</v>
          </cell>
        </row>
        <row r="42">
          <cell r="A42">
            <v>46</v>
          </cell>
          <cell r="B42">
            <v>0</v>
          </cell>
        </row>
        <row r="43">
          <cell r="A43">
            <v>75</v>
          </cell>
          <cell r="B43">
            <v>0</v>
          </cell>
        </row>
        <row r="44">
          <cell r="A44">
            <v>60</v>
          </cell>
          <cell r="B44">
            <v>0</v>
          </cell>
        </row>
        <row r="45">
          <cell r="A45">
            <v>39</v>
          </cell>
          <cell r="B45">
            <v>0</v>
          </cell>
        </row>
        <row r="46">
          <cell r="A46">
            <v>61</v>
          </cell>
          <cell r="B46">
            <v>0</v>
          </cell>
        </row>
      </sheetData>
      <sheetData sheetId="1">
        <row r="2">
          <cell r="B2">
            <v>0</v>
          </cell>
          <cell r="C2">
            <v>0</v>
          </cell>
        </row>
        <row r="3">
          <cell r="B3">
            <v>-3.2222222222222227E-3</v>
          </cell>
          <cell r="C3">
            <v>-0.16944444444444443</v>
          </cell>
        </row>
        <row r="4">
          <cell r="B4">
            <v>-1.4519695316767924E-3</v>
          </cell>
          <cell r="C4">
            <v>-3.7462673912012134E-2</v>
          </cell>
        </row>
        <row r="5">
          <cell r="B5">
            <v>-7.4988223866571566E-4</v>
          </cell>
          <cell r="C5">
            <v>3.9440657033917359E-2</v>
          </cell>
        </row>
        <row r="6">
          <cell r="B6">
            <v>-7.9864622911720376E-3</v>
          </cell>
          <cell r="C6">
            <v>-0.38152342174677761</v>
          </cell>
        </row>
        <row r="7">
          <cell r="B7">
            <v>-6.2087030799818071E-3</v>
          </cell>
          <cell r="C7">
            <v>-0.24930168727261312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B531-4076-48E6-9A84-70BC71AE46E5}">
  <dimension ref="A1:B47"/>
  <sheetViews>
    <sheetView zoomScale="95" zoomScaleNormal="85" workbookViewId="0">
      <selection activeCell="E3" sqref="E3"/>
    </sheetView>
  </sheetViews>
  <sheetFormatPr defaultRowHeight="14.45"/>
  <cols>
    <col min="1" max="1" width="12.5703125" style="1" customWidth="1"/>
    <col min="2" max="2" width="12.7109375" style="1" customWidth="1"/>
    <col min="3" max="3" width="12.7109375" customWidth="1"/>
  </cols>
  <sheetData>
    <row r="1" spans="1:2" ht="15">
      <c r="A1" s="12" t="s">
        <v>0</v>
      </c>
      <c r="B1" s="13" t="s">
        <v>1</v>
      </c>
    </row>
    <row r="2" spans="1:2" ht="15">
      <c r="A2" s="14">
        <v>35</v>
      </c>
      <c r="B2" s="15">
        <v>0</v>
      </c>
    </row>
    <row r="3" spans="1:2" ht="15">
      <c r="A3" s="14">
        <v>45</v>
      </c>
      <c r="B3" s="15">
        <v>0</v>
      </c>
    </row>
    <row r="4" spans="1:2" ht="15">
      <c r="A4" s="14">
        <v>55</v>
      </c>
      <c r="B4" s="15">
        <v>0</v>
      </c>
    </row>
    <row r="5" spans="1:2" ht="15">
      <c r="A5" s="14">
        <v>25</v>
      </c>
      <c r="B5" s="15">
        <v>0</v>
      </c>
    </row>
    <row r="6" spans="1:2" ht="15">
      <c r="A6" s="14">
        <v>65</v>
      </c>
      <c r="B6" s="15">
        <v>1</v>
      </c>
    </row>
    <row r="7" spans="1:2" ht="15">
      <c r="A7" s="16">
        <v>80</v>
      </c>
      <c r="B7" s="15">
        <v>0</v>
      </c>
    </row>
    <row r="8" spans="1:2" ht="15">
      <c r="A8" s="16">
        <v>48</v>
      </c>
      <c r="B8" s="15">
        <v>0</v>
      </c>
    </row>
    <row r="9" spans="1:2" ht="15">
      <c r="A9" s="16">
        <v>82</v>
      </c>
      <c r="B9" s="15">
        <v>0</v>
      </c>
    </row>
    <row r="10" spans="1:2" ht="15">
      <c r="A10" s="16">
        <v>81</v>
      </c>
      <c r="B10" s="15">
        <v>0</v>
      </c>
    </row>
    <row r="11" spans="1:2" ht="15">
      <c r="A11" s="16">
        <v>73</v>
      </c>
      <c r="B11" s="15">
        <v>0</v>
      </c>
    </row>
    <row r="12" spans="1:2" ht="15">
      <c r="A12" s="16">
        <v>84</v>
      </c>
      <c r="B12" s="15">
        <v>1</v>
      </c>
    </row>
    <row r="13" spans="1:2" ht="15">
      <c r="A13" s="16">
        <v>62</v>
      </c>
      <c r="B13" s="15">
        <v>1</v>
      </c>
    </row>
    <row r="14" spans="1:2" ht="15">
      <c r="A14" s="16">
        <v>53</v>
      </c>
      <c r="B14" s="15">
        <v>0</v>
      </c>
    </row>
    <row r="15" spans="1:2" ht="15">
      <c r="A15" s="16">
        <v>76</v>
      </c>
      <c r="B15" s="15">
        <v>0</v>
      </c>
    </row>
    <row r="16" spans="1:2" ht="15">
      <c r="A16" s="16">
        <v>51</v>
      </c>
      <c r="B16" s="15">
        <v>0</v>
      </c>
    </row>
    <row r="17" spans="1:2" ht="15">
      <c r="A17" s="16">
        <v>80</v>
      </c>
      <c r="B17" s="15">
        <v>0</v>
      </c>
    </row>
    <row r="18" spans="1:2" ht="15">
      <c r="A18" s="16">
        <v>56</v>
      </c>
      <c r="B18" s="15">
        <v>0</v>
      </c>
    </row>
    <row r="19" spans="1:2" ht="15">
      <c r="A19" s="16">
        <v>49</v>
      </c>
      <c r="B19" s="15">
        <v>0</v>
      </c>
    </row>
    <row r="20" spans="1:2" ht="15">
      <c r="A20" s="16">
        <v>53</v>
      </c>
      <c r="B20" s="15">
        <v>0</v>
      </c>
    </row>
    <row r="21" spans="1:2" ht="15">
      <c r="A21" s="16">
        <v>63</v>
      </c>
      <c r="B21" s="15">
        <v>0</v>
      </c>
    </row>
    <row r="22" spans="1:2" ht="15">
      <c r="A22" s="16">
        <v>76</v>
      </c>
      <c r="B22" s="15">
        <v>0</v>
      </c>
    </row>
    <row r="23" spans="1:2" ht="15">
      <c r="A23" s="16">
        <v>34</v>
      </c>
      <c r="B23" s="15">
        <v>0</v>
      </c>
    </row>
    <row r="24" spans="1:2" ht="15">
      <c r="A24" s="16">
        <v>53</v>
      </c>
      <c r="B24" s="15">
        <v>0</v>
      </c>
    </row>
    <row r="25" spans="1:2" ht="15">
      <c r="A25" s="16">
        <v>39</v>
      </c>
      <c r="B25" s="15">
        <v>0</v>
      </c>
    </row>
    <row r="26" spans="1:2" ht="15">
      <c r="A26" s="16">
        <v>41</v>
      </c>
      <c r="B26" s="15">
        <v>0</v>
      </c>
    </row>
    <row r="27" spans="1:2" ht="15">
      <c r="A27" s="16">
        <v>64</v>
      </c>
      <c r="B27" s="15">
        <v>0</v>
      </c>
    </row>
    <row r="28" spans="1:2" ht="15">
      <c r="A28" s="16">
        <v>66</v>
      </c>
      <c r="B28" s="15">
        <v>0</v>
      </c>
    </row>
    <row r="29" spans="1:2" ht="15">
      <c r="A29" s="16">
        <v>79</v>
      </c>
      <c r="B29" s="15">
        <v>1</v>
      </c>
    </row>
    <row r="30" spans="1:2" ht="15">
      <c r="A30" s="16">
        <v>78</v>
      </c>
      <c r="B30" s="15">
        <v>0</v>
      </c>
    </row>
    <row r="31" spans="1:2" ht="15">
      <c r="A31" s="16">
        <v>74</v>
      </c>
      <c r="B31" s="15">
        <v>1</v>
      </c>
    </row>
    <row r="32" spans="1:2" ht="15">
      <c r="A32" s="16">
        <v>75</v>
      </c>
      <c r="B32" s="15">
        <v>0</v>
      </c>
    </row>
    <row r="33" spans="1:2" ht="15">
      <c r="A33" s="16">
        <v>83</v>
      </c>
      <c r="B33" s="15">
        <v>1</v>
      </c>
    </row>
    <row r="34" spans="1:2" ht="15">
      <c r="A34" s="16">
        <v>72</v>
      </c>
      <c r="B34" s="15">
        <v>0</v>
      </c>
    </row>
    <row r="35" spans="1:2" ht="15">
      <c r="A35" s="16">
        <v>51</v>
      </c>
      <c r="B35" s="15">
        <v>0</v>
      </c>
    </row>
    <row r="36" spans="1:2" ht="15">
      <c r="A36" s="16">
        <v>32</v>
      </c>
      <c r="B36" s="15">
        <v>0</v>
      </c>
    </row>
    <row r="37" spans="1:2" ht="15">
      <c r="A37" s="16">
        <v>34</v>
      </c>
      <c r="B37" s="15">
        <v>0</v>
      </c>
    </row>
    <row r="38" spans="1:2" ht="15">
      <c r="A38" s="16">
        <v>68</v>
      </c>
      <c r="B38" s="15">
        <v>0</v>
      </c>
    </row>
    <row r="39" spans="1:2" ht="15">
      <c r="A39" s="16">
        <v>51</v>
      </c>
      <c r="B39" s="15">
        <v>0</v>
      </c>
    </row>
    <row r="40" spans="1:2" ht="15">
      <c r="A40" s="16">
        <v>76</v>
      </c>
      <c r="B40" s="15">
        <v>1</v>
      </c>
    </row>
    <row r="41" spans="1:2" ht="15">
      <c r="A41" s="16">
        <v>72</v>
      </c>
      <c r="B41" s="15">
        <v>1</v>
      </c>
    </row>
    <row r="42" spans="1:2" ht="15">
      <c r="A42" s="16">
        <v>46</v>
      </c>
      <c r="B42" s="15">
        <v>0</v>
      </c>
    </row>
    <row r="43" spans="1:2" ht="15">
      <c r="A43" s="16">
        <v>75</v>
      </c>
      <c r="B43" s="15">
        <v>0</v>
      </c>
    </row>
    <row r="44" spans="1:2" ht="15">
      <c r="A44" s="16">
        <v>60</v>
      </c>
      <c r="B44" s="15">
        <v>0</v>
      </c>
    </row>
    <row r="45" spans="1:2" ht="15">
      <c r="A45" s="16">
        <v>39</v>
      </c>
      <c r="B45" s="15">
        <v>0</v>
      </c>
    </row>
    <row r="46" spans="1:2" ht="15">
      <c r="A46" s="17">
        <v>61</v>
      </c>
      <c r="B46" s="18">
        <v>0</v>
      </c>
    </row>
    <row r="47" spans="1:2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6E05-AEF0-4C75-AEF1-A1DDAADA40A7}">
  <dimension ref="A1:F24"/>
  <sheetViews>
    <sheetView tabSelected="1" zoomScale="150" workbookViewId="0">
      <selection activeCell="V57" sqref="V57"/>
    </sheetView>
  </sheetViews>
  <sheetFormatPr defaultRowHeight="14.45"/>
  <cols>
    <col min="1" max="1" width="13.28515625" customWidth="1"/>
    <col min="2" max="5" width="14.28515625" customWidth="1"/>
  </cols>
  <sheetData>
    <row r="1" spans="1:4">
      <c r="A1" s="6" t="s">
        <v>2</v>
      </c>
      <c r="B1" s="5" t="s">
        <v>3</v>
      </c>
      <c r="C1" s="5" t="s">
        <v>4</v>
      </c>
      <c r="D1" s="7" t="s">
        <v>5</v>
      </c>
    </row>
    <row r="2" spans="1:4">
      <c r="A2" s="10">
        <v>1</v>
      </c>
      <c r="B2" s="3">
        <v>0</v>
      </c>
      <c r="C2" s="3">
        <v>0</v>
      </c>
      <c r="D2" s="8">
        <f>TRUNC(AVERAGE('Calcoli-iter-1'!F$2:F$46),3)</f>
        <v>0.30099999999999999</v>
      </c>
    </row>
    <row r="3" spans="1:4">
      <c r="A3" s="10">
        <v>2</v>
      </c>
      <c r="B3" s="3">
        <f>TRUNC(B2-0.01*AVERAGE('Calcoli-iter-1'!D$2:D$46),3)</f>
        <v>-3.0000000000000001E-3</v>
      </c>
      <c r="C3" s="3">
        <f xml:space="preserve"> TRUNC(C2 - 0.01 * AVERAGE('Calcoli-iter-1'!E$2:E$46),3)</f>
        <v>-0.16900000000000001</v>
      </c>
      <c r="D3" s="8">
        <f>ROUNDUP(AVERAGE('Calcoli-iter-2'!F$2:F$46),3)</f>
        <v>0.97199999999999998</v>
      </c>
    </row>
    <row r="4" spans="1:4">
      <c r="A4" s="10">
        <v>3</v>
      </c>
      <c r="B4" s="3">
        <f>TRUNC(B3-0.01*AVERAGE('Calcoli-iter-2'!D$2:D$46),3)</f>
        <v>-1E-3</v>
      </c>
      <c r="C4" s="3">
        <f xml:space="preserve"> TRUNC(C3 - 0.01 * AVERAGE('Calcoli-iter-2'!E$2:E$46),3)</f>
        <v>-3.6999999999999998E-2</v>
      </c>
      <c r="D4" s="8">
        <f>ROUNDUP(AVERAGE('Calcoli-iter-3'!F$2:F$46),3)</f>
        <v>0.26500000000000001</v>
      </c>
    </row>
    <row r="5" spans="1:4">
      <c r="A5" s="10">
        <v>4</v>
      </c>
      <c r="B5" s="3">
        <f>ROUNDUP(B4-0.01*AVERAGE('Calcoli-iter-3'!D$2:D$46),3)</f>
        <v>-1E-3</v>
      </c>
      <c r="C5" s="3">
        <f xml:space="preserve"> TRUNC(C4 - 0.01 * AVERAGE('Calcoli-iter-3'!E$2:E$46),3)</f>
        <v>3.7999999999999999E-2</v>
      </c>
      <c r="D5" s="8">
        <f>ROUNDUP(AVERAGE('Calcoli-iter-4'!F$2:F$46),3)</f>
        <v>0.85299999999999998</v>
      </c>
    </row>
    <row r="6" spans="1:4">
      <c r="A6" s="10">
        <v>5</v>
      </c>
      <c r="B6" s="3">
        <f>TRUNC(B5-0.01*AVERAGE('Calcoli-iter-4'!D$2:D$46),3)</f>
        <v>-8.0000000000000002E-3</v>
      </c>
      <c r="C6" s="3">
        <f xml:space="preserve"> ROUNDUP(C5 - 0.01 * AVERAGE('Calcoli-iter-4'!E$2:E$46),3)</f>
        <v>-0.38300000000000001</v>
      </c>
      <c r="D6" s="8">
        <f>TRUNC(AVERAGE('Calcoli-iter-5'!F$2:F$46),3)</f>
        <v>2.1989999999999998</v>
      </c>
    </row>
    <row r="7" spans="1:4">
      <c r="A7" s="11">
        <v>6</v>
      </c>
      <c r="B7" s="4">
        <f>TRUNC(B6-0.01*AVERAGE('Calcoli-iter-5'!D$2:D$46),3)</f>
        <v>-6.0000000000000001E-3</v>
      </c>
      <c r="C7" s="4">
        <f xml:space="preserve"> TRUNC(C6 - 0.01 * AVERAGE('Calcoli-iter-5'!E$2:E$46),3)</f>
        <v>-0.25</v>
      </c>
      <c r="D7" s="9">
        <f>TRUNC(AVERAGE('Calcoli-iter-6'!F$2:F$46),3)</f>
        <v>1.4359999999999999</v>
      </c>
    </row>
    <row r="24" spans="6:6">
      <c r="F24" s="2"/>
    </row>
  </sheetData>
  <conditionalFormatting sqref="D2:D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C3C8-16AB-45C6-82CD-63B34162AA54}">
  <dimension ref="A1:F47"/>
  <sheetViews>
    <sheetView zoomScale="63" zoomScaleNormal="160" workbookViewId="0">
      <selection activeCell="F2" sqref="F2"/>
    </sheetView>
  </sheetViews>
  <sheetFormatPr defaultRowHeight="14.45"/>
  <cols>
    <col min="1" max="2" width="13.28515625" style="1" customWidth="1"/>
    <col min="3" max="6" width="13.28515625" customWidth="1"/>
  </cols>
  <sheetData>
    <row r="1" spans="1:6" ht="15">
      <c r="A1" s="21" t="s">
        <v>6</v>
      </c>
      <c r="B1" s="22" t="s">
        <v>7</v>
      </c>
      <c r="C1" s="23" t="s">
        <v>8</v>
      </c>
      <c r="D1" s="23" t="s">
        <v>9</v>
      </c>
      <c r="E1" s="23" t="s">
        <v>10</v>
      </c>
      <c r="F1" s="23" t="s">
        <v>11</v>
      </c>
    </row>
    <row r="2" spans="1:6" ht="15">
      <c r="A2" s="25">
        <v>35</v>
      </c>
      <c r="B2" s="26">
        <v>0</v>
      </c>
      <c r="C2">
        <f>1 / (1 + EXP(-(Iterazioni!$B$2 + Iterazioni!$C$2 * Dati!A2)))</f>
        <v>0.5</v>
      </c>
      <c r="D2">
        <f>C2 - Dati!B2</f>
        <v>0.5</v>
      </c>
      <c r="E2">
        <f>D2 * Dati!A2</f>
        <v>17.5</v>
      </c>
      <c r="F2">
        <f xml:space="preserve"> - (Dati!B2 * LOG(C2) + (1 - Dati!B2) * LOG(1 - C2))</f>
        <v>0.3010299956639812</v>
      </c>
    </row>
    <row r="3" spans="1:6" ht="15">
      <c r="A3" s="25">
        <v>45</v>
      </c>
      <c r="B3" s="26">
        <v>0</v>
      </c>
      <c r="C3">
        <f>1 / (1 + EXP(-(Iterazioni!$B$2 + Iterazioni!$C$2 * Dati!A3)))</f>
        <v>0.5</v>
      </c>
      <c r="D3">
        <f>C3 - Dati!B3</f>
        <v>0.5</v>
      </c>
      <c r="E3">
        <f>D3 * Dati!A3</f>
        <v>22.5</v>
      </c>
      <c r="F3">
        <f xml:space="preserve"> - (Dati!B3 * LOG(C3) + (1 - Dati!B3) * LOG(1 - C3))</f>
        <v>0.3010299956639812</v>
      </c>
    </row>
    <row r="4" spans="1:6" ht="15">
      <c r="A4" s="25">
        <v>55</v>
      </c>
      <c r="B4" s="26">
        <v>0</v>
      </c>
      <c r="C4">
        <f>1 / (1 + EXP(-(Iterazioni!$B$2 + Iterazioni!$C$2 * Dati!A4)))</f>
        <v>0.5</v>
      </c>
      <c r="D4">
        <f>C4 - Dati!B4</f>
        <v>0.5</v>
      </c>
      <c r="E4">
        <f>D4 * Dati!A4</f>
        <v>27.5</v>
      </c>
      <c r="F4">
        <f xml:space="preserve"> - (Dati!B4 * LOG(C4) + (1 - Dati!B4) * LOG(1 - C4))</f>
        <v>0.3010299956639812</v>
      </c>
    </row>
    <row r="5" spans="1:6" ht="15">
      <c r="A5" s="25">
        <v>25</v>
      </c>
      <c r="B5" s="26">
        <v>0</v>
      </c>
      <c r="C5">
        <f>1 / (1 + EXP(-(Iterazioni!$B$2 + Iterazioni!$C$2 * Dati!A5)))</f>
        <v>0.5</v>
      </c>
      <c r="D5">
        <f>C5 - Dati!B5</f>
        <v>0.5</v>
      </c>
      <c r="E5">
        <f>D5 * Dati!A5</f>
        <v>12.5</v>
      </c>
      <c r="F5">
        <f xml:space="preserve"> - (Dati!B5 * LOG(C5) + (1 - Dati!B5) * LOG(1 - C5))</f>
        <v>0.3010299956639812</v>
      </c>
    </row>
    <row r="6" spans="1:6" ht="15">
      <c r="A6" s="25">
        <v>65</v>
      </c>
      <c r="B6" s="26">
        <v>1</v>
      </c>
      <c r="C6">
        <f>1 / (1 + EXP(-(Iterazioni!$B$2 + Iterazioni!$C$2 * Dati!A6)))</f>
        <v>0.5</v>
      </c>
      <c r="D6">
        <f>C6 - Dati!B6</f>
        <v>-0.5</v>
      </c>
      <c r="E6">
        <f>D6 * Dati!A6</f>
        <v>-32.5</v>
      </c>
      <c r="F6">
        <f xml:space="preserve"> - (Dati!B6 * LOG(C6) + (1 - Dati!B6) * LOG(1 - C6))</f>
        <v>0.3010299956639812</v>
      </c>
    </row>
    <row r="7" spans="1:6" ht="15">
      <c r="A7" s="27">
        <v>80</v>
      </c>
      <c r="B7" s="26">
        <v>0</v>
      </c>
      <c r="C7">
        <f>1 / (1 + EXP(-(Iterazioni!$B$2 + Iterazioni!$C$2 * Dati!A7)))</f>
        <v>0.5</v>
      </c>
      <c r="D7">
        <f>C7 - Dati!B7</f>
        <v>0.5</v>
      </c>
      <c r="E7">
        <f>D7 * Dati!A7</f>
        <v>40</v>
      </c>
      <c r="F7">
        <f xml:space="preserve"> - (Dati!B7 * LOG(C7) + (1 - Dati!B7) * LOG(1 - C7))</f>
        <v>0.3010299956639812</v>
      </c>
    </row>
    <row r="8" spans="1:6" ht="15">
      <c r="A8" s="27">
        <v>48</v>
      </c>
      <c r="B8" s="26">
        <v>0</v>
      </c>
      <c r="C8">
        <f>1 / (1 + EXP(-(Iterazioni!$B$2 + Iterazioni!$C$2 * Dati!A8)))</f>
        <v>0.5</v>
      </c>
      <c r="D8">
        <f>C8 - Dati!B8</f>
        <v>0.5</v>
      </c>
      <c r="E8">
        <f>D8 * Dati!A8</f>
        <v>24</v>
      </c>
      <c r="F8">
        <f xml:space="preserve"> - (Dati!B8 * LOG(C8) + (1 - Dati!B8) * LOG(1 - C8))</f>
        <v>0.3010299956639812</v>
      </c>
    </row>
    <row r="9" spans="1:6" ht="15">
      <c r="A9" s="27">
        <v>82</v>
      </c>
      <c r="B9" s="26">
        <v>0</v>
      </c>
      <c r="C9">
        <f>1 / (1 + EXP(-(Iterazioni!$B$2 + Iterazioni!$C$2 * Dati!A9)))</f>
        <v>0.5</v>
      </c>
      <c r="D9">
        <f>C9 - Dati!B9</f>
        <v>0.5</v>
      </c>
      <c r="E9">
        <f>D9 * Dati!A9</f>
        <v>41</v>
      </c>
      <c r="F9">
        <f xml:space="preserve"> - (Dati!B9 * LOG(C9) + (1 - Dati!B9) * LOG(1 - C9))</f>
        <v>0.3010299956639812</v>
      </c>
    </row>
    <row r="10" spans="1:6" ht="15">
      <c r="A10" s="27">
        <v>81</v>
      </c>
      <c r="B10" s="26">
        <v>0</v>
      </c>
      <c r="C10">
        <f>1 / (1 + EXP(-(Iterazioni!$B$2 + Iterazioni!$C$2 * Dati!A10)))</f>
        <v>0.5</v>
      </c>
      <c r="D10">
        <f>C10 - Dati!B10</f>
        <v>0.5</v>
      </c>
      <c r="E10">
        <f>D10 * Dati!A10</f>
        <v>40.5</v>
      </c>
      <c r="F10">
        <f xml:space="preserve"> - (Dati!B10 * LOG(C10) + (1 - Dati!B10) * LOG(1 - C10))</f>
        <v>0.3010299956639812</v>
      </c>
    </row>
    <row r="11" spans="1:6" ht="15">
      <c r="A11" s="27">
        <v>73</v>
      </c>
      <c r="B11" s="26">
        <v>0</v>
      </c>
      <c r="C11">
        <f>1 / (1 + EXP(-(Iterazioni!$B$2 + Iterazioni!$C$2 * Dati!A11)))</f>
        <v>0.5</v>
      </c>
      <c r="D11">
        <f>C11 - Dati!B11</f>
        <v>0.5</v>
      </c>
      <c r="E11">
        <f>D11 * Dati!A11</f>
        <v>36.5</v>
      </c>
      <c r="F11">
        <f xml:space="preserve"> - (Dati!B11 * LOG(C11) + (1 - Dati!B11) * LOG(1 - C11))</f>
        <v>0.3010299956639812</v>
      </c>
    </row>
    <row r="12" spans="1:6" ht="15">
      <c r="A12" s="27">
        <v>84</v>
      </c>
      <c r="B12" s="26">
        <v>1</v>
      </c>
      <c r="C12">
        <f>1 / (1 + EXP(-(Iterazioni!$B$2 + Iterazioni!$C$2 * Dati!A12)))</f>
        <v>0.5</v>
      </c>
      <c r="D12">
        <f>C12 - Dati!B12</f>
        <v>-0.5</v>
      </c>
      <c r="E12">
        <f>D12 * Dati!A12</f>
        <v>-42</v>
      </c>
      <c r="F12">
        <f xml:space="preserve"> - (Dati!B12 * LOG(C12) + (1 - Dati!B12) * LOG(1 - C12))</f>
        <v>0.3010299956639812</v>
      </c>
    </row>
    <row r="13" spans="1:6" ht="15">
      <c r="A13" s="27">
        <v>62</v>
      </c>
      <c r="B13" s="26">
        <v>1</v>
      </c>
      <c r="C13">
        <f>1 / (1 + EXP(-(Iterazioni!$B$2 + Iterazioni!$C$2 * Dati!A13)))</f>
        <v>0.5</v>
      </c>
      <c r="D13">
        <f>C13 - Dati!B13</f>
        <v>-0.5</v>
      </c>
      <c r="E13">
        <f>D13 * Dati!A13</f>
        <v>-31</v>
      </c>
      <c r="F13">
        <f xml:space="preserve"> - (Dati!B13 * LOG(C13) + (1 - Dati!B13) * LOG(1 - C13))</f>
        <v>0.3010299956639812</v>
      </c>
    </row>
    <row r="14" spans="1:6" ht="15">
      <c r="A14" s="27">
        <v>53</v>
      </c>
      <c r="B14" s="26">
        <v>0</v>
      </c>
      <c r="C14">
        <f>1 / (1 + EXP(-(Iterazioni!$B$2 + Iterazioni!$C$2 * Dati!A14)))</f>
        <v>0.5</v>
      </c>
      <c r="D14">
        <f>C14 - Dati!B14</f>
        <v>0.5</v>
      </c>
      <c r="E14">
        <f>D14 * Dati!A14</f>
        <v>26.5</v>
      </c>
      <c r="F14">
        <f xml:space="preserve"> - (Dati!B14 * LOG(C14) + (1 - Dati!B14) * LOG(1 - C14))</f>
        <v>0.3010299956639812</v>
      </c>
    </row>
    <row r="15" spans="1:6" ht="15">
      <c r="A15" s="27">
        <v>76</v>
      </c>
      <c r="B15" s="26">
        <v>0</v>
      </c>
      <c r="C15">
        <f>1 / (1 + EXP(-(Iterazioni!$B$2 + Iterazioni!$C$2 * Dati!A15)))</f>
        <v>0.5</v>
      </c>
      <c r="D15">
        <f>C15 - Dati!B15</f>
        <v>0.5</v>
      </c>
      <c r="E15">
        <f>D15 * Dati!A15</f>
        <v>38</v>
      </c>
      <c r="F15">
        <f xml:space="preserve"> - (Dati!B15 * LOG(C15) + (1 - Dati!B15) * LOG(1 - C15))</f>
        <v>0.3010299956639812</v>
      </c>
    </row>
    <row r="16" spans="1:6" ht="15">
      <c r="A16" s="27">
        <v>51</v>
      </c>
      <c r="B16" s="26">
        <v>0</v>
      </c>
      <c r="C16">
        <f>1 / (1 + EXP(-(Iterazioni!$B$2 + Iterazioni!$C$2 * Dati!A16)))</f>
        <v>0.5</v>
      </c>
      <c r="D16">
        <f>C16 - Dati!B16</f>
        <v>0.5</v>
      </c>
      <c r="E16">
        <f>D16 * Dati!A16</f>
        <v>25.5</v>
      </c>
      <c r="F16">
        <f xml:space="preserve"> - (Dati!B16 * LOG(C16) + (1 - Dati!B16) * LOG(1 - C16))</f>
        <v>0.3010299956639812</v>
      </c>
    </row>
    <row r="17" spans="1:6" ht="15">
      <c r="A17" s="27">
        <v>80</v>
      </c>
      <c r="B17" s="26">
        <v>0</v>
      </c>
      <c r="C17">
        <f>1 / (1 + EXP(-(Iterazioni!$B$2 + Iterazioni!$C$2 * Dati!A17)))</f>
        <v>0.5</v>
      </c>
      <c r="D17">
        <f>C17 - Dati!B17</f>
        <v>0.5</v>
      </c>
      <c r="E17">
        <f>D17 * Dati!A17</f>
        <v>40</v>
      </c>
      <c r="F17">
        <f xml:space="preserve"> - (Dati!B17 * LOG(C17) + (1 - Dati!B17) * LOG(1 - C17))</f>
        <v>0.3010299956639812</v>
      </c>
    </row>
    <row r="18" spans="1:6" ht="15">
      <c r="A18" s="27">
        <v>56</v>
      </c>
      <c r="B18" s="26">
        <v>0</v>
      </c>
      <c r="C18">
        <f>1 / (1 + EXP(-(Iterazioni!$B$2 + Iterazioni!$C$2 * Dati!A18)))</f>
        <v>0.5</v>
      </c>
      <c r="D18">
        <f>C18 - Dati!B18</f>
        <v>0.5</v>
      </c>
      <c r="E18">
        <f>D18 * Dati!A18</f>
        <v>28</v>
      </c>
      <c r="F18">
        <f xml:space="preserve"> - (Dati!B18 * LOG(C18) + (1 - Dati!B18) * LOG(1 - C18))</f>
        <v>0.3010299956639812</v>
      </c>
    </row>
    <row r="19" spans="1:6" ht="15">
      <c r="A19" s="27">
        <v>49</v>
      </c>
      <c r="B19" s="26">
        <v>0</v>
      </c>
      <c r="C19">
        <f>1 / (1 + EXP(-(Iterazioni!$B$2 + Iterazioni!$C$2 * Dati!A19)))</f>
        <v>0.5</v>
      </c>
      <c r="D19">
        <f>C19 - Dati!B19</f>
        <v>0.5</v>
      </c>
      <c r="E19">
        <f>D19 * Dati!A19</f>
        <v>24.5</v>
      </c>
      <c r="F19">
        <f xml:space="preserve"> - (Dati!B19 * LOG(C19) + (1 - Dati!B19) * LOG(1 - C19))</f>
        <v>0.3010299956639812</v>
      </c>
    </row>
    <row r="20" spans="1:6" ht="15">
      <c r="A20" s="27">
        <v>53</v>
      </c>
      <c r="B20" s="26">
        <v>0</v>
      </c>
      <c r="C20">
        <f>1 / (1 + EXP(-(Iterazioni!$B$2 + Iterazioni!$C$2 * Dati!A20)))</f>
        <v>0.5</v>
      </c>
      <c r="D20">
        <f>C20 - Dati!B20</f>
        <v>0.5</v>
      </c>
      <c r="E20">
        <f>D20 * Dati!A20</f>
        <v>26.5</v>
      </c>
      <c r="F20">
        <f xml:space="preserve"> - (Dati!B20 * LOG(C20) + (1 - Dati!B20) * LOG(1 - C20))</f>
        <v>0.3010299956639812</v>
      </c>
    </row>
    <row r="21" spans="1:6" ht="15">
      <c r="A21" s="27">
        <v>63</v>
      </c>
      <c r="B21" s="26">
        <v>0</v>
      </c>
      <c r="C21">
        <f>1 / (1 + EXP(-(Iterazioni!$B$2 + Iterazioni!$C$2 * Dati!A21)))</f>
        <v>0.5</v>
      </c>
      <c r="D21">
        <f>C21 - Dati!B21</f>
        <v>0.5</v>
      </c>
      <c r="E21">
        <f>D21 * Dati!A21</f>
        <v>31.5</v>
      </c>
      <c r="F21">
        <f xml:space="preserve"> - (Dati!B21 * LOG(C21) + (1 - Dati!B21) * LOG(1 - C21))</f>
        <v>0.3010299956639812</v>
      </c>
    </row>
    <row r="22" spans="1:6" ht="15">
      <c r="A22" s="27">
        <v>76</v>
      </c>
      <c r="B22" s="26">
        <v>0</v>
      </c>
      <c r="C22">
        <f>1 / (1 + EXP(-(Iterazioni!$B$2 + Iterazioni!$C$2 * Dati!A22)))</f>
        <v>0.5</v>
      </c>
      <c r="D22">
        <f>C22 - Dati!B22</f>
        <v>0.5</v>
      </c>
      <c r="E22">
        <f>D22 * Dati!A22</f>
        <v>38</v>
      </c>
      <c r="F22">
        <f xml:space="preserve"> - (Dati!B22 * LOG(C22) + (1 - Dati!B22) * LOG(1 - C22))</f>
        <v>0.3010299956639812</v>
      </c>
    </row>
    <row r="23" spans="1:6" ht="15">
      <c r="A23" s="27">
        <v>34</v>
      </c>
      <c r="B23" s="26">
        <v>0</v>
      </c>
      <c r="C23">
        <f>1 / (1 + EXP(-(Iterazioni!$B$2 + Iterazioni!$C$2 * Dati!A23)))</f>
        <v>0.5</v>
      </c>
      <c r="D23">
        <f>C23 - Dati!B23</f>
        <v>0.5</v>
      </c>
      <c r="E23">
        <f>D23 * Dati!A23</f>
        <v>17</v>
      </c>
      <c r="F23">
        <f xml:space="preserve"> - (Dati!B23 * LOG(C23) + (1 - Dati!B23) * LOG(1 - C23))</f>
        <v>0.3010299956639812</v>
      </c>
    </row>
    <row r="24" spans="1:6" ht="15">
      <c r="A24" s="27">
        <v>53</v>
      </c>
      <c r="B24" s="26">
        <v>0</v>
      </c>
      <c r="C24">
        <f>1 / (1 + EXP(-(Iterazioni!$B$2 + Iterazioni!$C$2 * Dati!A24)))</f>
        <v>0.5</v>
      </c>
      <c r="D24">
        <f>C24 - Dati!B24</f>
        <v>0.5</v>
      </c>
      <c r="E24">
        <f>D24 * Dati!A24</f>
        <v>26.5</v>
      </c>
      <c r="F24">
        <f xml:space="preserve"> - (Dati!B24 * LOG(C24) + (1 - Dati!B24) * LOG(1 - C24))</f>
        <v>0.3010299956639812</v>
      </c>
    </row>
    <row r="25" spans="1:6" ht="15">
      <c r="A25" s="27">
        <v>39</v>
      </c>
      <c r="B25" s="26">
        <v>0</v>
      </c>
      <c r="C25">
        <f>1 / (1 + EXP(-(Iterazioni!$B$2 + Iterazioni!$C$2 * Dati!A25)))</f>
        <v>0.5</v>
      </c>
      <c r="D25">
        <f>C25 - Dati!B25</f>
        <v>0.5</v>
      </c>
      <c r="E25">
        <f>D25 * Dati!A25</f>
        <v>19.5</v>
      </c>
      <c r="F25">
        <f xml:space="preserve"> - (Dati!B25 * LOG(C25) + (1 - Dati!B25) * LOG(1 - C25))</f>
        <v>0.3010299956639812</v>
      </c>
    </row>
    <row r="26" spans="1:6" ht="15">
      <c r="A26" s="27">
        <v>41</v>
      </c>
      <c r="B26" s="26">
        <v>0</v>
      </c>
      <c r="C26">
        <f>1 / (1 + EXP(-(Iterazioni!$B$2 + Iterazioni!$C$2 * Dati!A26)))</f>
        <v>0.5</v>
      </c>
      <c r="D26">
        <f>C26 - Dati!B26</f>
        <v>0.5</v>
      </c>
      <c r="E26">
        <f>D26 * Dati!A26</f>
        <v>20.5</v>
      </c>
      <c r="F26">
        <f xml:space="preserve"> - (Dati!B26 * LOG(C26) + (1 - Dati!B26) * LOG(1 - C26))</f>
        <v>0.3010299956639812</v>
      </c>
    </row>
    <row r="27" spans="1:6" ht="15">
      <c r="A27" s="27">
        <v>64</v>
      </c>
      <c r="B27" s="26">
        <v>0</v>
      </c>
      <c r="C27">
        <f>1 / (1 + EXP(-(Iterazioni!$B$2 + Iterazioni!$C$2 * Dati!A27)))</f>
        <v>0.5</v>
      </c>
      <c r="D27">
        <f>C27 - Dati!B27</f>
        <v>0.5</v>
      </c>
      <c r="E27">
        <f>D27 * Dati!A27</f>
        <v>32</v>
      </c>
      <c r="F27">
        <f xml:space="preserve"> - (Dati!B27 * LOG(C27) + (1 - Dati!B27) * LOG(1 - C27))</f>
        <v>0.3010299956639812</v>
      </c>
    </row>
    <row r="28" spans="1:6" ht="15">
      <c r="A28" s="27">
        <v>66</v>
      </c>
      <c r="B28" s="26">
        <v>0</v>
      </c>
      <c r="C28">
        <f>1 / (1 + EXP(-(Iterazioni!$B$2 + Iterazioni!$C$2 * Dati!A28)))</f>
        <v>0.5</v>
      </c>
      <c r="D28">
        <f>C28 - Dati!B28</f>
        <v>0.5</v>
      </c>
      <c r="E28">
        <f>D28 * Dati!A28</f>
        <v>33</v>
      </c>
      <c r="F28">
        <f xml:space="preserve"> - (Dati!B28 * LOG(C28) + (1 - Dati!B28) * LOG(1 - C28))</f>
        <v>0.3010299956639812</v>
      </c>
    </row>
    <row r="29" spans="1:6" ht="15">
      <c r="A29" s="27">
        <v>79</v>
      </c>
      <c r="B29" s="26">
        <v>1</v>
      </c>
      <c r="C29">
        <f>1 / (1 + EXP(-(Iterazioni!$B$2 + Iterazioni!$C$2 * Dati!A29)))</f>
        <v>0.5</v>
      </c>
      <c r="D29">
        <f>C29 - Dati!B29</f>
        <v>-0.5</v>
      </c>
      <c r="E29">
        <f>D29 * Dati!A29</f>
        <v>-39.5</v>
      </c>
      <c r="F29">
        <f xml:space="preserve"> - (Dati!B29 * LOG(C29) + (1 - Dati!B29) * LOG(1 - C29))</f>
        <v>0.3010299956639812</v>
      </c>
    </row>
    <row r="30" spans="1:6" ht="15">
      <c r="A30" s="27">
        <v>78</v>
      </c>
      <c r="B30" s="26">
        <v>0</v>
      </c>
      <c r="C30">
        <f>1 / (1 + EXP(-(Iterazioni!$B$2 + Iterazioni!$C$2 * Dati!A30)))</f>
        <v>0.5</v>
      </c>
      <c r="D30">
        <f>C30 - Dati!B30</f>
        <v>0.5</v>
      </c>
      <c r="E30">
        <f>D30 * Dati!A30</f>
        <v>39</v>
      </c>
      <c r="F30">
        <f xml:space="preserve"> - (Dati!B30 * LOG(C30) + (1 - Dati!B30) * LOG(1 - C30))</f>
        <v>0.3010299956639812</v>
      </c>
    </row>
    <row r="31" spans="1:6" ht="15">
      <c r="A31" s="27">
        <v>74</v>
      </c>
      <c r="B31" s="26">
        <v>1</v>
      </c>
      <c r="C31">
        <f>1 / (1 + EXP(-(Iterazioni!$B$2 + Iterazioni!$C$2 * Dati!A31)))</f>
        <v>0.5</v>
      </c>
      <c r="D31">
        <f>C31 - Dati!B31</f>
        <v>-0.5</v>
      </c>
      <c r="E31">
        <f>D31 * Dati!A31</f>
        <v>-37</v>
      </c>
      <c r="F31">
        <f xml:space="preserve"> - (Dati!B31 * LOG(C31) + (1 - Dati!B31) * LOG(1 - C31))</f>
        <v>0.3010299956639812</v>
      </c>
    </row>
    <row r="32" spans="1:6" ht="15">
      <c r="A32" s="27">
        <v>75</v>
      </c>
      <c r="B32" s="26">
        <v>0</v>
      </c>
      <c r="C32">
        <f>1 / (1 + EXP(-(Iterazioni!$B$2 + Iterazioni!$C$2 * Dati!A32)))</f>
        <v>0.5</v>
      </c>
      <c r="D32">
        <f>C32 - Dati!B32</f>
        <v>0.5</v>
      </c>
      <c r="E32">
        <f>D32 * Dati!A32</f>
        <v>37.5</v>
      </c>
      <c r="F32">
        <f xml:space="preserve"> - (Dati!B32 * LOG(C32) + (1 - Dati!B32) * LOG(1 - C32))</f>
        <v>0.3010299956639812</v>
      </c>
    </row>
    <row r="33" spans="1:6" ht="15">
      <c r="A33" s="27">
        <v>83</v>
      </c>
      <c r="B33" s="26">
        <v>1</v>
      </c>
      <c r="C33">
        <f>1 / (1 + EXP(-(Iterazioni!$B$2 + Iterazioni!$C$2 * Dati!A33)))</f>
        <v>0.5</v>
      </c>
      <c r="D33">
        <f>C33 - Dati!B33</f>
        <v>-0.5</v>
      </c>
      <c r="E33">
        <f>D33 * Dati!A33</f>
        <v>-41.5</v>
      </c>
      <c r="F33">
        <f xml:space="preserve"> - (Dati!B33 * LOG(C33) + (1 - Dati!B33) * LOG(1 - C33))</f>
        <v>0.3010299956639812</v>
      </c>
    </row>
    <row r="34" spans="1:6" ht="15">
      <c r="A34" s="27">
        <v>72</v>
      </c>
      <c r="B34" s="26">
        <v>0</v>
      </c>
      <c r="C34">
        <f>1 / (1 + EXP(-(Iterazioni!$B$2 + Iterazioni!$C$2 * Dati!A34)))</f>
        <v>0.5</v>
      </c>
      <c r="D34">
        <f>C34 - Dati!B34</f>
        <v>0.5</v>
      </c>
      <c r="E34">
        <f>D34 * Dati!A34</f>
        <v>36</v>
      </c>
      <c r="F34">
        <f xml:space="preserve"> - (Dati!B34 * LOG(C34) + (1 - Dati!B34) * LOG(1 - C34))</f>
        <v>0.3010299956639812</v>
      </c>
    </row>
    <row r="35" spans="1:6" ht="15">
      <c r="A35" s="27">
        <v>51</v>
      </c>
      <c r="B35" s="26">
        <v>0</v>
      </c>
      <c r="C35">
        <f>1 / (1 + EXP(-(Iterazioni!$B$2 + Iterazioni!$C$2 * Dati!A35)))</f>
        <v>0.5</v>
      </c>
      <c r="D35">
        <f>C35 - Dati!B35</f>
        <v>0.5</v>
      </c>
      <c r="E35">
        <f>D35 * Dati!A35</f>
        <v>25.5</v>
      </c>
      <c r="F35">
        <f xml:space="preserve"> - (Dati!B35 * LOG(C35) + (1 - Dati!B35) * LOG(1 - C35))</f>
        <v>0.3010299956639812</v>
      </c>
    </row>
    <row r="36" spans="1:6" ht="15">
      <c r="A36" s="27">
        <v>32</v>
      </c>
      <c r="B36" s="26">
        <v>0</v>
      </c>
      <c r="C36">
        <f>1 / (1 + EXP(-(Iterazioni!$B$2 + Iterazioni!$C$2 * Dati!A36)))</f>
        <v>0.5</v>
      </c>
      <c r="D36">
        <f>C36 - Dati!B36</f>
        <v>0.5</v>
      </c>
      <c r="E36">
        <f>D36 * Dati!A36</f>
        <v>16</v>
      </c>
      <c r="F36">
        <f xml:space="preserve"> - (Dati!B36 * LOG(C36) + (1 - Dati!B36) * LOG(1 - C36))</f>
        <v>0.3010299956639812</v>
      </c>
    </row>
    <row r="37" spans="1:6" ht="15">
      <c r="A37" s="27">
        <v>34</v>
      </c>
      <c r="B37" s="26">
        <v>0</v>
      </c>
      <c r="C37">
        <f>1 / (1 + EXP(-(Iterazioni!$B$2 + Iterazioni!$C$2 * Dati!A37)))</f>
        <v>0.5</v>
      </c>
      <c r="D37">
        <f>C37 - Dati!B37</f>
        <v>0.5</v>
      </c>
      <c r="E37">
        <f>D37 * Dati!A37</f>
        <v>17</v>
      </c>
      <c r="F37">
        <f xml:space="preserve"> - (Dati!B37 * LOG(C37) + (1 - Dati!B37) * LOG(1 - C37))</f>
        <v>0.3010299956639812</v>
      </c>
    </row>
    <row r="38" spans="1:6" ht="15">
      <c r="A38" s="27">
        <v>68</v>
      </c>
      <c r="B38" s="26">
        <v>0</v>
      </c>
      <c r="C38">
        <f>1 / (1 + EXP(-(Iterazioni!$B$2 + Iterazioni!$C$2 * Dati!A38)))</f>
        <v>0.5</v>
      </c>
      <c r="D38">
        <f>C38 - Dati!B38</f>
        <v>0.5</v>
      </c>
      <c r="E38">
        <f>D38 * Dati!A38</f>
        <v>34</v>
      </c>
      <c r="F38">
        <f xml:space="preserve"> - (Dati!B38 * LOG(C38) + (1 - Dati!B38) * LOG(1 - C38))</f>
        <v>0.3010299956639812</v>
      </c>
    </row>
    <row r="39" spans="1:6" ht="15">
      <c r="A39" s="27">
        <v>51</v>
      </c>
      <c r="B39" s="26">
        <v>0</v>
      </c>
      <c r="C39">
        <f>1 / (1 + EXP(-(Iterazioni!$B$2 + Iterazioni!$C$2 * Dati!A39)))</f>
        <v>0.5</v>
      </c>
      <c r="D39">
        <f>C39 - Dati!B39</f>
        <v>0.5</v>
      </c>
      <c r="E39">
        <f>D39 * Dati!A39</f>
        <v>25.5</v>
      </c>
      <c r="F39">
        <f xml:space="preserve"> - (Dati!B39 * LOG(C39) + (1 - Dati!B39) * LOG(1 - C39))</f>
        <v>0.3010299956639812</v>
      </c>
    </row>
    <row r="40" spans="1:6" ht="15">
      <c r="A40" s="27">
        <v>76</v>
      </c>
      <c r="B40" s="26">
        <v>1</v>
      </c>
      <c r="C40">
        <f>1 / (1 + EXP(-(Iterazioni!$B$2 + Iterazioni!$C$2 * Dati!A40)))</f>
        <v>0.5</v>
      </c>
      <c r="D40">
        <f>C40 - Dati!B40</f>
        <v>-0.5</v>
      </c>
      <c r="E40">
        <f>D40 * Dati!A40</f>
        <v>-38</v>
      </c>
      <c r="F40">
        <f xml:space="preserve"> - (Dati!B40 * LOG(C40) + (1 - Dati!B40) * LOG(1 - C40))</f>
        <v>0.3010299956639812</v>
      </c>
    </row>
    <row r="41" spans="1:6" ht="15">
      <c r="A41" s="27">
        <v>72</v>
      </c>
      <c r="B41" s="26">
        <v>1</v>
      </c>
      <c r="C41">
        <f>1 / (1 + EXP(-(Iterazioni!$B$2 + Iterazioni!$C$2 * Dati!A41)))</f>
        <v>0.5</v>
      </c>
      <c r="D41">
        <f>C41 - Dati!B41</f>
        <v>-0.5</v>
      </c>
      <c r="E41">
        <f>D41 * Dati!A41</f>
        <v>-36</v>
      </c>
      <c r="F41">
        <f xml:space="preserve"> - (Dati!B41 * LOG(C41) + (1 - Dati!B41) * LOG(1 - C41))</f>
        <v>0.3010299956639812</v>
      </c>
    </row>
    <row r="42" spans="1:6" ht="15">
      <c r="A42" s="27">
        <v>46</v>
      </c>
      <c r="B42" s="26">
        <v>0</v>
      </c>
      <c r="C42">
        <f>1 / (1 + EXP(-(Iterazioni!$B$2 + Iterazioni!$C$2 * Dati!A42)))</f>
        <v>0.5</v>
      </c>
      <c r="D42">
        <f>C42 - Dati!B42</f>
        <v>0.5</v>
      </c>
      <c r="E42">
        <f>D42 * Dati!A42</f>
        <v>23</v>
      </c>
      <c r="F42">
        <f xml:space="preserve"> - (Dati!B42 * LOG(C42) + (1 - Dati!B42) * LOG(1 - C42))</f>
        <v>0.3010299956639812</v>
      </c>
    </row>
    <row r="43" spans="1:6" ht="15">
      <c r="A43" s="27">
        <v>75</v>
      </c>
      <c r="B43" s="26">
        <v>0</v>
      </c>
      <c r="C43">
        <f>1 / (1 + EXP(-(Iterazioni!$B$2 + Iterazioni!$C$2 * Dati!A43)))</f>
        <v>0.5</v>
      </c>
      <c r="D43">
        <f>C43 - Dati!B43</f>
        <v>0.5</v>
      </c>
      <c r="E43">
        <f>D43 * Dati!A43</f>
        <v>37.5</v>
      </c>
      <c r="F43">
        <f xml:space="preserve"> - (Dati!B43 * LOG(C43) + (1 - Dati!B43) * LOG(1 - C43))</f>
        <v>0.3010299956639812</v>
      </c>
    </row>
    <row r="44" spans="1:6" ht="15">
      <c r="A44" s="27">
        <v>60</v>
      </c>
      <c r="B44" s="26">
        <v>0</v>
      </c>
      <c r="C44">
        <f>1 / (1 + EXP(-(Iterazioni!$B$2 + Iterazioni!$C$2 * Dati!A44)))</f>
        <v>0.5</v>
      </c>
      <c r="D44">
        <f>C44 - Dati!B44</f>
        <v>0.5</v>
      </c>
      <c r="E44">
        <f>D44 * Dati!A44</f>
        <v>30</v>
      </c>
      <c r="F44">
        <f xml:space="preserve"> - (Dati!B44 * LOG(C44) + (1 - Dati!B44) * LOG(1 - C44))</f>
        <v>0.3010299956639812</v>
      </c>
    </row>
    <row r="45" spans="1:6" ht="15">
      <c r="A45" s="27">
        <v>39</v>
      </c>
      <c r="B45" s="26">
        <v>0</v>
      </c>
      <c r="C45">
        <f>1 / (1 + EXP(-(Iterazioni!$B$2 + Iterazioni!$C$2 * Dati!A45)))</f>
        <v>0.5</v>
      </c>
      <c r="D45">
        <f>C45 - Dati!B45</f>
        <v>0.5</v>
      </c>
      <c r="E45">
        <f>D45 * Dati!A45</f>
        <v>19.5</v>
      </c>
      <c r="F45">
        <f xml:space="preserve"> - (Dati!B45 * LOG(C45) + (1 - Dati!B45) * LOG(1 - C45))</f>
        <v>0.3010299956639812</v>
      </c>
    </row>
    <row r="46" spans="1:6" ht="15">
      <c r="A46" s="28">
        <v>61</v>
      </c>
      <c r="B46" s="29">
        <v>0</v>
      </c>
      <c r="C46">
        <f>1 / (1 + EXP(-(Iterazioni!$B$2 + Iterazioni!$C$2 * Dati!A46)))</f>
        <v>0.5</v>
      </c>
      <c r="D46">
        <f>C46 - Dati!B46</f>
        <v>0.5</v>
      </c>
      <c r="E46">
        <f>D46 * Dati!A46</f>
        <v>30.5</v>
      </c>
      <c r="F46">
        <f xml:space="preserve"> - (Dati!B46 * LOG(C46) + (1 - Dati!B46) * LOG(1 - C46))</f>
        <v>0.3010299956639812</v>
      </c>
    </row>
    <row r="47" spans="1:6" ht="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F2B0-2CCC-4973-958E-FD568FF5DA24}">
  <dimension ref="A1:F47"/>
  <sheetViews>
    <sheetView zoomScale="86" workbookViewId="0">
      <selection activeCell="F2" sqref="F2"/>
    </sheetView>
  </sheetViews>
  <sheetFormatPr defaultRowHeight="14.45"/>
  <cols>
    <col min="1" max="2" width="13.28515625" style="1" customWidth="1"/>
    <col min="3" max="6" width="13.28515625" customWidth="1"/>
  </cols>
  <sheetData>
    <row r="1" spans="1:6" ht="15">
      <c r="A1" s="21" t="s">
        <v>6</v>
      </c>
      <c r="B1" s="22" t="s">
        <v>7</v>
      </c>
      <c r="C1" s="24" t="s">
        <v>8</v>
      </c>
      <c r="D1" s="24" t="s">
        <v>9</v>
      </c>
      <c r="E1" s="24" t="s">
        <v>10</v>
      </c>
      <c r="F1" s="24" t="s">
        <v>11</v>
      </c>
    </row>
    <row r="2" spans="1:6" ht="15">
      <c r="A2" s="14">
        <v>35</v>
      </c>
      <c r="B2" s="15">
        <v>0</v>
      </c>
      <c r="C2">
        <f>1 / (1 + EXP(-(Iterazioni!$B$3 + Iterazioni!$C$3 * Dati!A2)))</f>
        <v>2.6833561776897015E-3</v>
      </c>
      <c r="D2">
        <f>C2 - Dati!B2</f>
        <v>2.6833561776897015E-3</v>
      </c>
      <c r="E2">
        <f>D2 * Dati!A2</f>
        <v>9.3917466219139559E-2</v>
      </c>
      <c r="F2">
        <f xml:space="preserve"> - (Dati!B2 * LOG(C2) + (1 - Dati!B2) * LOG(1 - C2))</f>
        <v>1.1669331307040903E-3</v>
      </c>
    </row>
    <row r="3" spans="1:6" ht="15">
      <c r="A3" s="14">
        <v>45</v>
      </c>
      <c r="B3" s="15">
        <v>0</v>
      </c>
      <c r="C3">
        <f>1 / (1 + EXP(-(Iterazioni!$B$3 + Iterazioni!$C$3 * Dati!A3)))</f>
        <v>4.9621743980632512E-4</v>
      </c>
      <c r="D3">
        <f>C3 - Dati!B3</f>
        <v>4.9621743980632512E-4</v>
      </c>
      <c r="E3">
        <f>D3 * Dati!A3</f>
        <v>2.232978479128463E-2</v>
      </c>
      <c r="F3">
        <f xml:space="preserve"> - (Dati!B3 * LOG(C3) + (1 - Dati!B3) * LOG(1 - C3))</f>
        <v>2.1555798217126604E-4</v>
      </c>
    </row>
    <row r="4" spans="1:6" ht="15">
      <c r="A4" s="14">
        <v>55</v>
      </c>
      <c r="B4" s="15">
        <v>0</v>
      </c>
      <c r="C4">
        <f>1 / (1 + EXP(-(Iterazioni!$B$3 + Iterazioni!$C$3 * Dati!A4)))</f>
        <v>9.1598871789622154E-5</v>
      </c>
      <c r="D4">
        <f>C4 - Dati!B4</f>
        <v>9.1598871789622154E-5</v>
      </c>
      <c r="E4">
        <f>D4 * Dati!A4</f>
        <v>5.0379379484292181E-3</v>
      </c>
      <c r="F4">
        <f xml:space="preserve"> - (Dati!B4 * LOG(C4) + (1 - Dati!B4) * LOG(1 - C4))</f>
        <v>3.978270662015437E-5</v>
      </c>
    </row>
    <row r="5" spans="1:6" ht="15">
      <c r="A5" s="14">
        <v>25</v>
      </c>
      <c r="B5" s="15">
        <v>0</v>
      </c>
      <c r="C5">
        <f>1 / (1 + EXP(-(Iterazioni!$B$3 + Iterazioni!$C$3 * Dati!A5)))</f>
        <v>1.4371959376609232E-2</v>
      </c>
      <c r="D5">
        <f>C5 - Dati!B5</f>
        <v>1.4371959376609232E-2</v>
      </c>
      <c r="E5">
        <f>D5 * Dati!A5</f>
        <v>0.35929898441523078</v>
      </c>
      <c r="F5">
        <f xml:space="preserve"> - (Dati!B5 * LOG(C5) + (1 - Dati!B5) * LOG(1 - C5))</f>
        <v>6.2869495437135655E-3</v>
      </c>
    </row>
    <row r="6" spans="1:6" ht="15">
      <c r="A6" s="14">
        <v>65</v>
      </c>
      <c r="B6" s="15">
        <v>1</v>
      </c>
      <c r="C6">
        <f>1 / (1 + EXP(-(Iterazioni!$B$3 + Iterazioni!$C$3 * Dati!A6)))</f>
        <v>1.6903042829053903E-5</v>
      </c>
      <c r="D6">
        <f>C6 - Dati!B6</f>
        <v>-0.99998309695717091</v>
      </c>
      <c r="E6">
        <f>D6 * Dati!A6</f>
        <v>-64.998901302216112</v>
      </c>
      <c r="F6">
        <f xml:space="preserve"> - (Dati!B6 * LOG(C6) + (1 - Dati!B6) * LOG(1 - C6))</f>
        <v>4.7720351081132018</v>
      </c>
    </row>
    <row r="7" spans="1:6" ht="15">
      <c r="A7" s="16">
        <v>80</v>
      </c>
      <c r="B7" s="15">
        <v>0</v>
      </c>
      <c r="C7">
        <f>1 / (1 + EXP(-(Iterazioni!$B$3 + Iterazioni!$C$3 * Dati!A7)))</f>
        <v>1.339785086884767E-6</v>
      </c>
      <c r="D7">
        <f>C7 - Dati!B7</f>
        <v>1.339785086884767E-6</v>
      </c>
      <c r="E7">
        <f>D7 * Dati!A7</f>
        <v>1.0718280695078136E-4</v>
      </c>
      <c r="F7">
        <f xml:space="preserve"> - (Dati!B7 * LOG(C7) + (1 - Dati!B7) * LOG(1 - C7))</f>
        <v>5.8186165995030017E-7</v>
      </c>
    </row>
    <row r="8" spans="1:6" ht="15">
      <c r="A8" s="16">
        <v>48</v>
      </c>
      <c r="B8" s="15">
        <v>0</v>
      </c>
      <c r="C8">
        <f>1 / (1 + EXP(-(Iterazioni!$B$3 + Iterazioni!$C$3 * Dati!A8)))</f>
        <v>2.9893064280881506E-4</v>
      </c>
      <c r="D8">
        <f>C8 - Dati!B8</f>
        <v>2.9893064280881506E-4</v>
      </c>
      <c r="E8">
        <f>D8 * Dati!A8</f>
        <v>1.4348670854823123E-2</v>
      </c>
      <c r="F8">
        <f xml:space="preserve"> - (Dati!B8 * LOG(C8) + (1 - Dati!B8) * LOG(1 - C8))</f>
        <v>1.298433366867594E-4</v>
      </c>
    </row>
    <row r="9" spans="1:6" ht="15">
      <c r="A9" s="16">
        <v>82</v>
      </c>
      <c r="B9" s="15">
        <v>0</v>
      </c>
      <c r="C9">
        <f>1 / (1 + EXP(-(Iterazioni!$B$3 + Iterazioni!$C$3 * Dati!A9)))</f>
        <v>9.5552877793091938E-7</v>
      </c>
      <c r="D9">
        <f>C9 - Dati!B9</f>
        <v>9.5552877793091938E-7</v>
      </c>
      <c r="E9">
        <f>D9 * Dati!A9</f>
        <v>7.8353359790335383E-5</v>
      </c>
      <c r="F9">
        <f xml:space="preserve"> - (Dati!B9 * LOG(C9) + (1 - Dati!B9) * LOG(1 - C9))</f>
        <v>4.1498107379604506E-7</v>
      </c>
    </row>
    <row r="10" spans="1:6" ht="15">
      <c r="A10" s="16">
        <v>81</v>
      </c>
      <c r="B10" s="15">
        <v>0</v>
      </c>
      <c r="C10">
        <f>1 / (1 + EXP(-(Iterazioni!$B$3 + Iterazioni!$C$3 * Dati!A10)))</f>
        <v>1.1314606702091696E-6</v>
      </c>
      <c r="D10">
        <f>C10 - Dati!B10</f>
        <v>1.1314606702091696E-6</v>
      </c>
      <c r="E10">
        <f>D10 * Dati!A10</f>
        <v>9.1648314286942744E-5</v>
      </c>
      <c r="F10">
        <f xml:space="preserve"> - (Dati!B10 * LOG(C10) + (1 - Dati!B10) * LOG(1 - C10))</f>
        <v>4.9138740353222183E-7</v>
      </c>
    </row>
    <row r="11" spans="1:6" ht="15">
      <c r="A11" s="16">
        <v>73</v>
      </c>
      <c r="B11" s="15">
        <v>0</v>
      </c>
      <c r="C11">
        <f>1 / (1 + EXP(-(Iterazioni!$B$3 + Iterazioni!$C$3 * Dati!A11)))</f>
        <v>4.3732488844609814E-6</v>
      </c>
      <c r="D11">
        <f>C11 - Dati!B11</f>
        <v>4.3732488844609814E-6</v>
      </c>
      <c r="E11">
        <f>D11 * Dati!A11</f>
        <v>3.1924716856565166E-4</v>
      </c>
      <c r="F11">
        <f xml:space="preserve"> - (Dati!B11 * LOG(C11) + (1 - Dati!B11) * LOG(1 - C11))</f>
        <v>1.899282011534607E-6</v>
      </c>
    </row>
    <row r="12" spans="1:6" ht="15">
      <c r="A12" s="16">
        <v>84</v>
      </c>
      <c r="B12" s="15">
        <v>1</v>
      </c>
      <c r="C12">
        <f>1 / (1 + EXP(-(Iterazioni!$B$3 + Iterazioni!$C$3 * Dati!A12)))</f>
        <v>6.8147880863090916E-7</v>
      </c>
      <c r="D12">
        <f>C12 - Dati!B12</f>
        <v>-0.99999931852119139</v>
      </c>
      <c r="E12">
        <f>D12 * Dati!A12</f>
        <v>-83.999942755780083</v>
      </c>
      <c r="F12">
        <f xml:space="preserve"> - (Dati!B12 * LOG(C12) + (1 - Dati!B12) * LOG(1 - C12))</f>
        <v>6.1665476445068608</v>
      </c>
    </row>
    <row r="13" spans="1:6" ht="15">
      <c r="A13" s="16">
        <v>62</v>
      </c>
      <c r="B13" s="15">
        <v>1</v>
      </c>
      <c r="C13">
        <f>1 / (1 + EXP(-(Iterazioni!$B$3 + Iterazioni!$C$3 * Dati!A13)))</f>
        <v>2.8063856243214622E-5</v>
      </c>
      <c r="D13">
        <f>C13 - Dati!B13</f>
        <v>-0.99997193614375679</v>
      </c>
      <c r="E13">
        <f>D13 * Dati!A13</f>
        <v>-61.998260040912918</v>
      </c>
      <c r="F13">
        <f xml:space="preserve"> - (Dati!B13 * LOG(C13) + (1 - Dati!B13) * LOG(1 - C13))</f>
        <v>4.5518526529769145</v>
      </c>
    </row>
    <row r="14" spans="1:6" ht="15">
      <c r="A14" s="16">
        <v>53</v>
      </c>
      <c r="B14" s="15">
        <v>0</v>
      </c>
      <c r="C14">
        <f>1 / (1 + EXP(-(Iterazioni!$B$3 + Iterazioni!$C$3 * Dati!A14)))</f>
        <v>1.2842975741318005E-4</v>
      </c>
      <c r="D14">
        <f>C14 - Dati!B14</f>
        <v>1.2842975741318005E-4</v>
      </c>
      <c r="E14">
        <f>D14 * Dati!A14</f>
        <v>6.8067771428985428E-3</v>
      </c>
      <c r="F14">
        <f xml:space="preserve"> - (Dati!B14 * LOG(C14) + (1 - Dati!B14) * LOG(1 - C14))</f>
        <v>5.5779916934014023E-5</v>
      </c>
    </row>
    <row r="15" spans="1:6" ht="15">
      <c r="A15" s="16">
        <v>76</v>
      </c>
      <c r="B15" s="15">
        <v>0</v>
      </c>
      <c r="C15">
        <f>1 / (1 + EXP(-(Iterazioni!$B$3 + Iterazioni!$C$3 * Dati!A15)))</f>
        <v>2.6340113805596172E-6</v>
      </c>
      <c r="D15">
        <f>C15 - Dati!B15</f>
        <v>2.6340113805596172E-6</v>
      </c>
      <c r="E15">
        <f>D15 * Dati!A15</f>
        <v>2.001848649225309E-4</v>
      </c>
      <c r="F15">
        <f xml:space="preserve"> - (Dati!B15 * LOG(C15) + (1 - Dati!B15) * LOG(1 - C15))</f>
        <v>1.143938114423203E-6</v>
      </c>
    </row>
    <row r="16" spans="1:6" ht="15">
      <c r="A16" s="16">
        <v>51</v>
      </c>
      <c r="B16" s="15">
        <v>0</v>
      </c>
      <c r="C16">
        <f>1 / (1 + EXP(-(Iterazioni!$B$3 + Iterazioni!$C$3 * Dati!A16)))</f>
        <v>1.8006726481221313E-4</v>
      </c>
      <c r="D16">
        <f>C16 - Dati!B16</f>
        <v>1.8006726481221313E-4</v>
      </c>
      <c r="E16">
        <f>D16 * Dati!A16</f>
        <v>9.1834305054228696E-3</v>
      </c>
      <c r="F16">
        <f xml:space="preserve"> - (Dati!B16 * LOG(C16) + (1 - Dati!B16) * LOG(1 - C16))</f>
        <v>7.8209261154576096E-5</v>
      </c>
    </row>
    <row r="17" spans="1:6" ht="15">
      <c r="A17" s="16">
        <v>80</v>
      </c>
      <c r="B17" s="15">
        <v>0</v>
      </c>
      <c r="C17">
        <f>1 / (1 + EXP(-(Iterazioni!$B$3 + Iterazioni!$C$3 * Dati!A17)))</f>
        <v>1.339785086884767E-6</v>
      </c>
      <c r="D17">
        <f>C17 - Dati!B17</f>
        <v>1.339785086884767E-6</v>
      </c>
      <c r="E17">
        <f>D17 * Dati!A17</f>
        <v>1.0718280695078136E-4</v>
      </c>
      <c r="F17">
        <f xml:space="preserve"> - (Dati!B17 * LOG(C17) + (1 - Dati!B17) * LOG(1 - C17))</f>
        <v>5.8186165995030017E-7</v>
      </c>
    </row>
    <row r="18" spans="1:6" ht="15">
      <c r="A18" s="16">
        <v>56</v>
      </c>
      <c r="B18" s="15">
        <v>0</v>
      </c>
      <c r="C18">
        <f>1 / (1 + EXP(-(Iterazioni!$B$3 + Iterazioni!$C$3 * Dati!A18)))</f>
        <v>7.7357164549772975E-5</v>
      </c>
      <c r="D18">
        <f>C18 - Dati!B18</f>
        <v>7.7357164549772975E-5</v>
      </c>
      <c r="E18">
        <f>D18 * Dati!A18</f>
        <v>4.3320012147872863E-3</v>
      </c>
      <c r="F18">
        <f xml:space="preserve"> - (Dati!B18 * LOG(C18) + (1 - Dati!B18) * LOG(1 - C18))</f>
        <v>3.3597089204201701E-5</v>
      </c>
    </row>
    <row r="19" spans="1:6" ht="15">
      <c r="A19" s="16">
        <v>49</v>
      </c>
      <c r="B19" s="15">
        <v>0</v>
      </c>
      <c r="C19">
        <f>1 / (1 + EXP(-(Iterazioni!$B$3 + Iterazioni!$C$3 * Dati!A19)))</f>
        <v>2.5246132401525315E-4</v>
      </c>
      <c r="D19">
        <f>C19 - Dati!B19</f>
        <v>2.5246132401525315E-4</v>
      </c>
      <c r="E19">
        <f>D19 * Dati!A19</f>
        <v>1.2370604876747404E-2</v>
      </c>
      <c r="F19">
        <f xml:space="preserve"> - (Dati!B19 * LOG(C19) + (1 - Dati!B19) * LOG(1 - C19))</f>
        <v>1.0965640249659028E-4</v>
      </c>
    </row>
    <row r="20" spans="1:6" ht="15">
      <c r="A20" s="16">
        <v>53</v>
      </c>
      <c r="B20" s="15">
        <v>0</v>
      </c>
      <c r="C20">
        <f>1 / (1 + EXP(-(Iterazioni!$B$3 + Iterazioni!$C$3 * Dati!A20)))</f>
        <v>1.2842975741318005E-4</v>
      </c>
      <c r="D20">
        <f>C20 - Dati!B20</f>
        <v>1.2842975741318005E-4</v>
      </c>
      <c r="E20">
        <f>D20 * Dati!A20</f>
        <v>6.8067771428985428E-3</v>
      </c>
      <c r="F20">
        <f xml:space="preserve"> - (Dati!B20 * LOG(C20) + (1 - Dati!B20) * LOG(1 - C20))</f>
        <v>5.5779916934014023E-5</v>
      </c>
    </row>
    <row r="21" spans="1:6" ht="15">
      <c r="A21" s="16">
        <v>63</v>
      </c>
      <c r="B21" s="15">
        <v>0</v>
      </c>
      <c r="C21">
        <f>1 / (1 + EXP(-(Iterazioni!$B$3 + Iterazioni!$C$3 * Dati!A21)))</f>
        <v>2.3700279881172681E-5</v>
      </c>
      <c r="D21">
        <f>C21 - Dati!B21</f>
        <v>2.3700279881172681E-5</v>
      </c>
      <c r="E21">
        <f>D21 * Dati!A21</f>
        <v>1.4931176325138789E-3</v>
      </c>
      <c r="F21">
        <f xml:space="preserve"> - (Dati!B21 * LOG(C21) + (1 - Dati!B21) * LOG(1 - C21))</f>
        <v>1.0293022746204874E-5</v>
      </c>
    </row>
    <row r="22" spans="1:6" ht="15">
      <c r="A22" s="16">
        <v>76</v>
      </c>
      <c r="B22" s="15">
        <v>0</v>
      </c>
      <c r="C22">
        <f>1 / (1 + EXP(-(Iterazioni!$B$3 + Iterazioni!$C$3 * Dati!A22)))</f>
        <v>2.6340113805596172E-6</v>
      </c>
      <c r="D22">
        <f>C22 - Dati!B22</f>
        <v>2.6340113805596172E-6</v>
      </c>
      <c r="E22">
        <f>D22 * Dati!A22</f>
        <v>2.001848649225309E-4</v>
      </c>
      <c r="F22">
        <f xml:space="preserve"> - (Dati!B22 * LOG(C22) + (1 - Dati!B22) * LOG(1 - C22))</f>
        <v>1.143938114423203E-6</v>
      </c>
    </row>
    <row r="23" spans="1:6" ht="15">
      <c r="A23" s="16">
        <v>34</v>
      </c>
      <c r="B23" s="15">
        <v>0</v>
      </c>
      <c r="C23">
        <f>1 / (1 + EXP(-(Iterazioni!$B$3 + Iterazioni!$C$3 * Dati!A23)))</f>
        <v>3.1758470312029633E-3</v>
      </c>
      <c r="D23">
        <f>C23 - Dati!B23</f>
        <v>3.1758470312029633E-3</v>
      </c>
      <c r="E23">
        <f>D23 * Dati!A23</f>
        <v>0.10797879906090076</v>
      </c>
      <c r="F23">
        <f xml:space="preserve"> - (Dati!B23 * LOG(C23) + (1 - Dati!B23) * LOG(1 - C23))</f>
        <v>1.3814476371636168E-3</v>
      </c>
    </row>
    <row r="24" spans="1:6" ht="15">
      <c r="A24" s="16">
        <v>53</v>
      </c>
      <c r="B24" s="15">
        <v>0</v>
      </c>
      <c r="C24">
        <f>1 / (1 + EXP(-(Iterazioni!$B$3 + Iterazioni!$C$3 * Dati!A24)))</f>
        <v>1.2842975741318005E-4</v>
      </c>
      <c r="D24">
        <f>C24 - Dati!B24</f>
        <v>1.2842975741318005E-4</v>
      </c>
      <c r="E24">
        <f>D24 * Dati!A24</f>
        <v>6.8067771428985428E-3</v>
      </c>
      <c r="F24">
        <f xml:space="preserve"> - (Dati!B24 * LOG(C24) + (1 - Dati!B24) * LOG(1 - C24))</f>
        <v>5.5779916934014023E-5</v>
      </c>
    </row>
    <row r="25" spans="1:6" ht="15">
      <c r="A25" s="16">
        <v>39</v>
      </c>
      <c r="B25" s="15">
        <v>0</v>
      </c>
      <c r="C25">
        <f>1 / (1 + EXP(-(Iterazioni!$B$3 + Iterazioni!$C$3 * Dati!A25)))</f>
        <v>1.3666843989757096E-3</v>
      </c>
      <c r="D25">
        <f>C25 - Dati!B25</f>
        <v>1.3666843989757096E-3</v>
      </c>
      <c r="E25">
        <f>D25 * Dati!A25</f>
        <v>5.3300691560052675E-2</v>
      </c>
      <c r="F25">
        <f xml:space="preserve"> - (Dati!B25 * LOG(C25) + (1 - Dati!B25) * LOG(1 - C25))</f>
        <v>5.9394945621896417E-4</v>
      </c>
    </row>
    <row r="26" spans="1:6" ht="15">
      <c r="A26" s="16">
        <v>41</v>
      </c>
      <c r="B26" s="15">
        <v>0</v>
      </c>
      <c r="C26">
        <f>1 / (1 + EXP(-(Iterazioni!$B$3 + Iterazioni!$C$3 * Dati!A26)))</f>
        <v>9.7509508290080432E-4</v>
      </c>
      <c r="D26">
        <f>C26 - Dati!B26</f>
        <v>9.7509508290080432E-4</v>
      </c>
      <c r="E26">
        <f>D26 * Dati!A26</f>
        <v>3.9978898398932976E-2</v>
      </c>
      <c r="F26">
        <f xml:space="preserve"> - (Dati!B26 * LOG(C26) + (1 - Dati!B26) * LOG(1 - C26))</f>
        <v>4.2368501400847654E-4</v>
      </c>
    </row>
    <row r="27" spans="1:6" ht="15">
      <c r="A27" s="16">
        <v>64</v>
      </c>
      <c r="B27" s="15">
        <v>0</v>
      </c>
      <c r="C27">
        <f>1 / (1 + EXP(-(Iterazioni!$B$3 + Iterazioni!$C$3 * Dati!A27)))</f>
        <v>2.0015171131949788E-5</v>
      </c>
      <c r="D27">
        <f>C27 - Dati!B27</f>
        <v>2.0015171131949788E-5</v>
      </c>
      <c r="E27">
        <f>D27 * Dati!A27</f>
        <v>1.2809709524447864E-3</v>
      </c>
      <c r="F27">
        <f xml:space="preserve"> - (Dati!B27 * LOG(C27) + (1 - Dati!B27) * LOG(1 - C27))</f>
        <v>8.6925653688267662E-6</v>
      </c>
    </row>
    <row r="28" spans="1:6" ht="15">
      <c r="A28" s="16">
        <v>66</v>
      </c>
      <c r="B28" s="15">
        <v>0</v>
      </c>
      <c r="C28">
        <f>1 / (1 + EXP(-(Iterazioni!$B$3 + Iterazioni!$C$3 * Dati!A28)))</f>
        <v>1.4274807681538336E-5</v>
      </c>
      <c r="D28">
        <f>C28 - Dati!B28</f>
        <v>1.4274807681538336E-5</v>
      </c>
      <c r="E28">
        <f>D28 * Dati!A28</f>
        <v>9.4213730698153016E-4</v>
      </c>
      <c r="F28">
        <f xml:space="preserve"> - (Dati!B28 * LOG(C28) + (1 - Dati!B28) * LOG(1 - C28))</f>
        <v>6.1995144548791573E-6</v>
      </c>
    </row>
    <row r="29" spans="1:6" ht="15">
      <c r="A29" s="16">
        <v>79</v>
      </c>
      <c r="B29" s="15">
        <v>1</v>
      </c>
      <c r="C29">
        <f>1 / (1 + EXP(-(Iterazioni!$B$3 + Iterazioni!$C$3 * Dati!A29)))</f>
        <v>1.586466111858546E-6</v>
      </c>
      <c r="D29">
        <f>C29 - Dati!B29</f>
        <v>-0.99999841353388819</v>
      </c>
      <c r="E29">
        <f>D29 * Dati!A29</f>
        <v>-78.99987466917716</v>
      </c>
      <c r="F29">
        <f xml:space="preserve"> - (Dati!B29 * LOG(C29) + (1 - Dati!B29) * LOG(1 - C29))</f>
        <v>5.7995692003300503</v>
      </c>
    </row>
    <row r="30" spans="1:6" ht="15">
      <c r="A30" s="16">
        <v>78</v>
      </c>
      <c r="B30" s="15">
        <v>0</v>
      </c>
      <c r="C30">
        <f>1 / (1 + EXP(-(Iterazioni!$B$3 + Iterazioni!$C$3 * Dati!A30)))</f>
        <v>1.8785659240423275E-6</v>
      </c>
      <c r="D30">
        <f>C30 - Dati!B30</f>
        <v>1.8785659240423275E-6</v>
      </c>
      <c r="E30">
        <f>D30 * Dati!A30</f>
        <v>1.4652814207530155E-4</v>
      </c>
      <c r="F30">
        <f xml:space="preserve"> - (Dati!B30 * LOG(C30) + (1 - Dati!B30) * LOG(1 - C30))</f>
        <v>8.1585158101803027E-7</v>
      </c>
    </row>
    <row r="31" spans="1:6" ht="15">
      <c r="A31" s="16">
        <v>74</v>
      </c>
      <c r="B31" s="15">
        <v>1</v>
      </c>
      <c r="C31">
        <f>1 / (1 + EXP(-(Iterazioni!$B$3 + Iterazioni!$C$3 * Dati!A31)))</f>
        <v>3.6932501310651062E-6</v>
      </c>
      <c r="D31">
        <f>C31 - Dati!B31</f>
        <v>-0.99999630674986895</v>
      </c>
      <c r="E31">
        <f>D31 * Dati!A31</f>
        <v>-73.999726699490296</v>
      </c>
      <c r="F31">
        <f xml:space="preserve"> - (Dati!B31 * LOG(C31) + (1 - Dati!B31) * LOG(1 - C31))</f>
        <v>5.432591278088891</v>
      </c>
    </row>
    <row r="32" spans="1:6" ht="15">
      <c r="A32" s="16">
        <v>75</v>
      </c>
      <c r="B32" s="15">
        <v>0</v>
      </c>
      <c r="C32">
        <f>1 / (1 + EXP(-(Iterazioni!$B$3 + Iterazioni!$C$3 * Dati!A32)))</f>
        <v>3.1189844092475384E-6</v>
      </c>
      <c r="D32">
        <f>C32 - Dati!B32</f>
        <v>3.1189844092475384E-6</v>
      </c>
      <c r="E32">
        <f>D32 * Dati!A32</f>
        <v>2.3392383069356537E-4</v>
      </c>
      <c r="F32">
        <f xml:space="preserve"> - (Dati!B32 * LOG(C32) + (1 - Dati!B32) * LOG(1 - C32))</f>
        <v>1.3545598305280637E-6</v>
      </c>
    </row>
    <row r="33" spans="1:6" ht="15">
      <c r="A33" s="16">
        <v>83</v>
      </c>
      <c r="B33" s="15">
        <v>1</v>
      </c>
      <c r="C33">
        <f>1 / (1 + EXP(-(Iterazioni!$B$3 + Iterazioni!$C$3 * Dati!A33)))</f>
        <v>8.0695268029821493E-7</v>
      </c>
      <c r="D33">
        <f>C33 - Dati!B33</f>
        <v>-0.99999919304731966</v>
      </c>
      <c r="E33">
        <f>D33 * Dati!A33</f>
        <v>-82.999933022927536</v>
      </c>
      <c r="F33">
        <f xml:space="preserve"> - (Dati!B33 * LOG(C33) + (1 - Dati!B33) * LOG(1 - C33))</f>
        <v>6.0931519315578608</v>
      </c>
    </row>
    <row r="34" spans="1:6" ht="15">
      <c r="A34" s="16">
        <v>72</v>
      </c>
      <c r="B34" s="15">
        <v>0</v>
      </c>
      <c r="C34">
        <f>1 / (1 + EXP(-(Iterazioni!$B$3 + Iterazioni!$C$3 * Dati!A34)))</f>
        <v>5.1784479069142486E-6</v>
      </c>
      <c r="D34">
        <f>C34 - Dati!B34</f>
        <v>5.1784479069142486E-6</v>
      </c>
      <c r="E34">
        <f>D34 * Dati!A34</f>
        <v>3.7284824929782588E-4</v>
      </c>
      <c r="F34">
        <f xml:space="preserve"> - (Dati!B34 * LOG(C34) + (1 - Dati!B34) * LOG(1 - C34))</f>
        <v>2.2489771739130177E-6</v>
      </c>
    </row>
    <row r="35" spans="1:6" ht="15">
      <c r="A35" s="16">
        <v>51</v>
      </c>
      <c r="B35" s="15">
        <v>0</v>
      </c>
      <c r="C35">
        <f>1 / (1 + EXP(-(Iterazioni!$B$3 + Iterazioni!$C$3 * Dati!A35)))</f>
        <v>1.8006726481221313E-4</v>
      </c>
      <c r="D35">
        <f>C35 - Dati!B35</f>
        <v>1.8006726481221313E-4</v>
      </c>
      <c r="E35">
        <f>D35 * Dati!A35</f>
        <v>9.1834305054228696E-3</v>
      </c>
      <c r="F35">
        <f xml:space="preserve"> - (Dati!B35 * LOG(C35) + (1 - Dati!B35) * LOG(1 - C35))</f>
        <v>7.8209261154576096E-5</v>
      </c>
    </row>
    <row r="36" spans="1:6" ht="15">
      <c r="A36" s="16">
        <v>32</v>
      </c>
      <c r="B36" s="15">
        <v>0</v>
      </c>
      <c r="C36">
        <f>1 / (1 + EXP(-(Iterazioni!$B$3 + Iterazioni!$C$3 * Dati!A36)))</f>
        <v>4.4473039398853931E-3</v>
      </c>
      <c r="D36">
        <f>C36 - Dati!B36</f>
        <v>4.4473039398853931E-3</v>
      </c>
      <c r="E36">
        <f>D36 * Dati!A36</f>
        <v>0.14231372607633258</v>
      </c>
      <c r="F36">
        <f xml:space="preserve"> - (Dati!B36 * LOG(C36) + (1 - Dati!B36) * LOG(1 - C36))</f>
        <v>1.9357471861137893E-3</v>
      </c>
    </row>
    <row r="37" spans="1:6" ht="15">
      <c r="A37" s="16">
        <v>34</v>
      </c>
      <c r="B37" s="15">
        <v>0</v>
      </c>
      <c r="C37">
        <f>1 / (1 + EXP(-(Iterazioni!$B$3 + Iterazioni!$C$3 * Dati!A37)))</f>
        <v>3.1758470312029633E-3</v>
      </c>
      <c r="D37">
        <f>C37 - Dati!B37</f>
        <v>3.1758470312029633E-3</v>
      </c>
      <c r="E37">
        <f>D37 * Dati!A37</f>
        <v>0.10797879906090076</v>
      </c>
      <c r="F37">
        <f xml:space="preserve"> - (Dati!B37 * LOG(C37) + (1 - Dati!B37) * LOG(1 - C37))</f>
        <v>1.3814476371636168E-3</v>
      </c>
    </row>
    <row r="38" spans="1:6" ht="15">
      <c r="A38" s="16">
        <v>68</v>
      </c>
      <c r="B38" s="15">
        <v>0</v>
      </c>
      <c r="C38">
        <f>1 / (1 + EXP(-(Iterazioni!$B$3 + Iterazioni!$C$3 * Dati!A38)))</f>
        <v>1.0180767255024394E-5</v>
      </c>
      <c r="D38">
        <f>C38 - Dati!B38</f>
        <v>1.0180767255024394E-5</v>
      </c>
      <c r="E38">
        <f>D38 * Dati!A38</f>
        <v>6.9229217334165879E-4</v>
      </c>
      <c r="F38">
        <f xml:space="preserve"> - (Dati!B38 * LOG(C38) + (1 - Dati!B38) * LOG(1 - C38))</f>
        <v>4.4214735474260574E-6</v>
      </c>
    </row>
    <row r="39" spans="1:6" ht="15">
      <c r="A39" s="16">
        <v>51</v>
      </c>
      <c r="B39" s="15">
        <v>0</v>
      </c>
      <c r="C39">
        <f>1 / (1 + EXP(-(Iterazioni!$B$3 + Iterazioni!$C$3 * Dati!A39)))</f>
        <v>1.8006726481221313E-4</v>
      </c>
      <c r="D39">
        <f>C39 - Dati!B39</f>
        <v>1.8006726481221313E-4</v>
      </c>
      <c r="E39">
        <f>D39 * Dati!A39</f>
        <v>9.1834305054228696E-3</v>
      </c>
      <c r="F39">
        <f xml:space="preserve"> - (Dati!B39 * LOG(C39) + (1 - Dati!B39) * LOG(1 - C39))</f>
        <v>7.8209261154576096E-5</v>
      </c>
    </row>
    <row r="40" spans="1:6" ht="15">
      <c r="A40" s="16">
        <v>76</v>
      </c>
      <c r="B40" s="15">
        <v>1</v>
      </c>
      <c r="C40">
        <f>1 / (1 + EXP(-(Iterazioni!$B$3 + Iterazioni!$C$3 * Dati!A40)))</f>
        <v>2.6340113805596172E-6</v>
      </c>
      <c r="D40">
        <f>C40 - Dati!B40</f>
        <v>-0.99999736598861944</v>
      </c>
      <c r="E40">
        <f>D40 * Dati!A40</f>
        <v>-75.999799815135077</v>
      </c>
      <c r="F40">
        <f xml:space="preserve"> - (Dati!B40 * LOG(C40) + (1 - Dati!B40) * LOG(1 - C40))</f>
        <v>5.5793823529491915</v>
      </c>
    </row>
    <row r="41" spans="1:6" ht="15">
      <c r="A41" s="16">
        <v>72</v>
      </c>
      <c r="B41" s="15">
        <v>1</v>
      </c>
      <c r="C41">
        <f>1 / (1 + EXP(-(Iterazioni!$B$3 + Iterazioni!$C$3 * Dati!A41)))</f>
        <v>5.1784479069142486E-6</v>
      </c>
      <c r="D41">
        <f>C41 - Dati!B41</f>
        <v>-0.99999482155209307</v>
      </c>
      <c r="E41">
        <f>D41 * Dati!A41</f>
        <v>-71.999627151750701</v>
      </c>
      <c r="F41">
        <f xml:space="preserve"> - (Dati!B41 * LOG(C41) + (1 - Dati!B41) * LOG(1 - C41))</f>
        <v>5.2858003882216522</v>
      </c>
    </row>
    <row r="42" spans="1:6" ht="15">
      <c r="A42" s="16">
        <v>46</v>
      </c>
      <c r="B42" s="15">
        <v>0</v>
      </c>
      <c r="C42">
        <f>1 / (1 + EXP(-(Iterazioni!$B$3 + Iterazioni!$C$3 * Dati!A42)))</f>
        <v>4.1909238200785328E-4</v>
      </c>
      <c r="D42">
        <f>C42 - Dati!B42</f>
        <v>4.1909238200785328E-4</v>
      </c>
      <c r="E42">
        <f>D42 * Dati!A42</f>
        <v>1.9278249572361249E-2</v>
      </c>
      <c r="F42">
        <f xml:space="preserve"> - (Dati!B42 * LOG(C42) + (1 - Dati!B42) * LOG(1 - C42))</f>
        <v>1.820476589723361E-4</v>
      </c>
    </row>
    <row r="43" spans="1:6" ht="15">
      <c r="A43" s="16">
        <v>75</v>
      </c>
      <c r="B43" s="15">
        <v>0</v>
      </c>
      <c r="C43">
        <f>1 / (1 + EXP(-(Iterazioni!$B$3 + Iterazioni!$C$3 * Dati!A43)))</f>
        <v>3.1189844092475384E-6</v>
      </c>
      <c r="D43">
        <f>C43 - Dati!B43</f>
        <v>3.1189844092475384E-6</v>
      </c>
      <c r="E43">
        <f>D43 * Dati!A43</f>
        <v>2.3392383069356537E-4</v>
      </c>
      <c r="F43">
        <f xml:space="preserve"> - (Dati!B43 * LOG(C43) + (1 - Dati!B43) * LOG(1 - C43))</f>
        <v>1.3545598305280637E-6</v>
      </c>
    </row>
    <row r="44" spans="1:6" ht="15">
      <c r="A44" s="16">
        <v>60</v>
      </c>
      <c r="B44" s="15">
        <v>0</v>
      </c>
      <c r="C44">
        <f>1 / (1 + EXP(-(Iterazioni!$B$3 + Iterazioni!$C$3 * Dati!A44)))</f>
        <v>3.934902544247156E-5</v>
      </c>
      <c r="D44">
        <f>C44 - Dati!B44</f>
        <v>3.934902544247156E-5</v>
      </c>
      <c r="E44">
        <f>D44 * Dati!A44</f>
        <v>2.3609415265482938E-3</v>
      </c>
      <c r="F44">
        <f xml:space="preserve"> - (Dati!B44 * LOG(C44) + (1 - Dati!B44) * LOG(1 - C44))</f>
        <v>1.7089400845765142E-5</v>
      </c>
    </row>
    <row r="45" spans="1:6" ht="15">
      <c r="A45" s="16">
        <v>39</v>
      </c>
      <c r="B45" s="15">
        <v>0</v>
      </c>
      <c r="C45">
        <f>1 / (1 + EXP(-(Iterazioni!$B$3 + Iterazioni!$C$3 * Dati!A45)))</f>
        <v>1.3666843989757096E-3</v>
      </c>
      <c r="D45">
        <f>C45 - Dati!B45</f>
        <v>1.3666843989757096E-3</v>
      </c>
      <c r="E45">
        <f>D45 * Dati!A45</f>
        <v>5.3300691560052675E-2</v>
      </c>
      <c r="F45">
        <f xml:space="preserve"> - (Dati!B45 * LOG(C45) + (1 - Dati!B45) * LOG(1 - C45))</f>
        <v>5.9394945621896417E-4</v>
      </c>
    </row>
    <row r="46" spans="1:6" ht="15">
      <c r="A46" s="17">
        <v>61</v>
      </c>
      <c r="B46" s="18">
        <v>0</v>
      </c>
      <c r="C46">
        <f>1 / (1 + EXP(-(Iterazioni!$B$3 + Iterazioni!$C$3 * Dati!A46)))</f>
        <v>3.3230805645860258E-5</v>
      </c>
      <c r="D46">
        <f>C46 - Dati!B46</f>
        <v>3.3230805645860258E-5</v>
      </c>
      <c r="E46">
        <f>D46 * Dati!A46</f>
        <v>2.027079144397476E-3</v>
      </c>
      <c r="F46">
        <f xml:space="preserve"> - (Dati!B46 * LOG(C46) + (1 - Dati!B46) * LOG(1 - C46))</f>
        <v>1.4432195319271456E-5</v>
      </c>
    </row>
    <row r="47" spans="1:6" ht="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0AAF-7308-429D-9EF1-5A377C397792}">
  <dimension ref="A1:F47"/>
  <sheetViews>
    <sheetView zoomScale="40" zoomScaleNormal="40" workbookViewId="0">
      <selection activeCell="G2" sqref="G2"/>
    </sheetView>
  </sheetViews>
  <sheetFormatPr defaultRowHeight="14.45"/>
  <cols>
    <col min="1" max="2" width="13.28515625" style="1" customWidth="1"/>
    <col min="3" max="6" width="13.28515625" customWidth="1"/>
  </cols>
  <sheetData>
    <row r="1" spans="1:6" ht="15">
      <c r="A1" s="21" t="s">
        <v>6</v>
      </c>
      <c r="B1" s="22" t="s">
        <v>7</v>
      </c>
      <c r="C1" s="24" t="s">
        <v>8</v>
      </c>
      <c r="D1" s="24" t="s">
        <v>9</v>
      </c>
      <c r="E1" s="24" t="s">
        <v>10</v>
      </c>
      <c r="F1" s="24" t="s">
        <v>11</v>
      </c>
    </row>
    <row r="2" spans="1:6" ht="15">
      <c r="A2" s="14">
        <v>35</v>
      </c>
      <c r="B2" s="15">
        <v>0</v>
      </c>
      <c r="C2">
        <f>1 / (1 + EXP(-(Iterazioni!$B$4 + Iterazioni!$C$4 * Dati!A2)))</f>
        <v>0.21483898007764854</v>
      </c>
      <c r="D2">
        <f>C2 - Dati!B2</f>
        <v>0.21483898007764854</v>
      </c>
      <c r="E2">
        <f>D2 * Dati!A2</f>
        <v>7.5193643027176993</v>
      </c>
      <c r="F2">
        <f xml:space="preserve"> - (Dati!B2 * LOG(C2) + (1 - Dati!B2) * LOG(1 - C2))</f>
        <v>0.10504126950611713</v>
      </c>
    </row>
    <row r="3" spans="1:6" ht="15">
      <c r="A3" s="14">
        <v>45</v>
      </c>
      <c r="B3" s="15">
        <v>0</v>
      </c>
      <c r="C3">
        <f>1 / (1 + EXP(-(Iterazioni!$B$4 + Iterazioni!$C$4 * Dati!A3)))</f>
        <v>0.15895821161725227</v>
      </c>
      <c r="D3">
        <f>C3 - Dati!B3</f>
        <v>0.15895821161725227</v>
      </c>
      <c r="E3">
        <f>D3 * Dati!A3</f>
        <v>7.1531195227763522</v>
      </c>
      <c r="F3">
        <f xml:space="preserve"> - (Dati!B3 * LOG(C3) + (1 - Dati!B3) * LOG(1 - C3))</f>
        <v>7.5182425113905757E-2</v>
      </c>
    </row>
    <row r="4" spans="1:6" ht="15">
      <c r="A4" s="14">
        <v>55</v>
      </c>
      <c r="B4" s="15">
        <v>0</v>
      </c>
      <c r="C4">
        <f>1 / (1 + EXP(-(Iterazioni!$B$4 + Iterazioni!$C$4 * Dati!A4)))</f>
        <v>0.1154746651265828</v>
      </c>
      <c r="D4">
        <f>C4 - Dati!B4</f>
        <v>0.1154746651265828</v>
      </c>
      <c r="E4">
        <f>D4 * Dati!A4</f>
        <v>6.3511065819620542</v>
      </c>
      <c r="F4">
        <f xml:space="preserve"> - (Dati!B4 * LOG(C4) + (1 - Dati!B4) * LOG(1 - C4))</f>
        <v>5.3289723366863592E-2</v>
      </c>
    </row>
    <row r="5" spans="1:6" ht="15">
      <c r="A5" s="14">
        <v>25</v>
      </c>
      <c r="B5" s="15">
        <v>0</v>
      </c>
      <c r="C5">
        <f>1 / (1 + EXP(-(Iterazioni!$B$4 + Iterazioni!$C$4 * Dati!A5)))</f>
        <v>0.28373693195512145</v>
      </c>
      <c r="D5">
        <f>C5 - Dati!B5</f>
        <v>0.28373693195512145</v>
      </c>
      <c r="E5">
        <f>D5 * Dati!A5</f>
        <v>7.0934232988780366</v>
      </c>
      <c r="F5">
        <f xml:space="preserve"> - (Dati!B5 * LOG(C5) + (1 - Dati!B5) * LOG(1 - C5))</f>
        <v>0.14492744135543428</v>
      </c>
    </row>
    <row r="6" spans="1:6" ht="15">
      <c r="A6" s="14">
        <v>65</v>
      </c>
      <c r="B6" s="15">
        <v>1</v>
      </c>
      <c r="C6">
        <f>1 / (1 + EXP(-(Iterazioni!$B$4 + Iterazioni!$C$4 * Dati!A6)))</f>
        <v>8.2716309276690783E-2</v>
      </c>
      <c r="D6">
        <f>C6 - Dati!B6</f>
        <v>-0.91728369072330918</v>
      </c>
      <c r="E6">
        <f>D6 * Dati!A6</f>
        <v>-59.623439897015096</v>
      </c>
      <c r="F6">
        <f xml:space="preserve"> - (Dati!B6 * LOG(C6) + (1 - Dati!B6) * LOG(1 - C6))</f>
        <v>1.08240885162593</v>
      </c>
    </row>
    <row r="7" spans="1:6" ht="15">
      <c r="A7" s="16">
        <v>80</v>
      </c>
      <c r="B7" s="15">
        <v>0</v>
      </c>
      <c r="C7">
        <f>1 / (1 + EXP(-(Iterazioni!$B$4 + Iterazioni!$C$4 * Dati!A7)))</f>
        <v>4.9219188323555749E-2</v>
      </c>
      <c r="D7">
        <f>C7 - Dati!B7</f>
        <v>4.9219188323555749E-2</v>
      </c>
      <c r="E7">
        <f>D7 * Dati!A7</f>
        <v>3.9375350658844601</v>
      </c>
      <c r="F7">
        <f xml:space="preserve"> - (Dati!B7 * LOG(C7) + (1 - Dati!B7) * LOG(1 - C7))</f>
        <v>2.1919591633726268E-2</v>
      </c>
    </row>
    <row r="8" spans="1:6" ht="15">
      <c r="A8" s="16">
        <v>48</v>
      </c>
      <c r="B8" s="15">
        <v>0</v>
      </c>
      <c r="C8">
        <f>1 / (1 + EXP(-(Iterazioni!$B$4 + Iterazioni!$C$4 * Dati!A8)))</f>
        <v>0.14467396874531277</v>
      </c>
      <c r="D8">
        <f>C8 - Dati!B8</f>
        <v>0.14467396874531277</v>
      </c>
      <c r="E8">
        <f>D8 * Dati!A8</f>
        <v>6.9443504997750125</v>
      </c>
      <c r="F8">
        <f xml:space="preserve"> - (Dati!B8 * LOG(C8) + (1 - Dati!B8) * LOG(1 - C8))</f>
        <v>6.7868310318319983E-2</v>
      </c>
    </row>
    <row r="9" spans="1:6" ht="15">
      <c r="A9" s="16">
        <v>82</v>
      </c>
      <c r="B9" s="15">
        <v>0</v>
      </c>
      <c r="C9">
        <f>1 / (1 + EXP(-(Iterazioni!$B$4 + Iterazioni!$C$4 * Dati!A9)))</f>
        <v>4.5869502029266769E-2</v>
      </c>
      <c r="D9">
        <f>C9 - Dati!B9</f>
        <v>4.5869502029266769E-2</v>
      </c>
      <c r="E9">
        <f>D9 * Dati!A9</f>
        <v>3.7612991663998749</v>
      </c>
      <c r="F9">
        <f xml:space="preserve"> - (Dati!B9 * LOG(C9) + (1 - Dati!B9) * LOG(1 - C9))</f>
        <v>2.0392222075068939E-2</v>
      </c>
    </row>
    <row r="10" spans="1:6" ht="15">
      <c r="A10" s="16">
        <v>81</v>
      </c>
      <c r="B10" s="15">
        <v>0</v>
      </c>
      <c r="C10">
        <f>1 / (1 + EXP(-(Iterazioni!$B$4 + Iterazioni!$C$4 * Dati!A10)))</f>
        <v>4.7516308324098519E-2</v>
      </c>
      <c r="D10">
        <f>C10 - Dati!B10</f>
        <v>4.7516308324098519E-2</v>
      </c>
      <c r="E10">
        <f>D10 * Dati!A10</f>
        <v>3.8488209742519799</v>
      </c>
      <c r="F10">
        <f xml:space="preserve"> - (Dati!B10 * LOG(C10) + (1 - Dati!B10) * LOG(1 - C10))</f>
        <v>2.1142451532446611E-2</v>
      </c>
    </row>
    <row r="11" spans="1:6" ht="15">
      <c r="A11" s="16">
        <v>73</v>
      </c>
      <c r="B11" s="15">
        <v>0</v>
      </c>
      <c r="C11">
        <f>1 / (1 + EXP(-(Iterazioni!$B$4 + Iterazioni!$C$4 * Dati!A11)))</f>
        <v>6.2855443732987251E-2</v>
      </c>
      <c r="D11">
        <f>C11 - Dati!B11</f>
        <v>6.2855443732987251E-2</v>
      </c>
      <c r="E11">
        <f>D11 * Dati!A11</f>
        <v>4.5884473925080691</v>
      </c>
      <c r="F11">
        <f xml:space="preserve"> - (Dati!B11 * LOG(C11) + (1 - Dati!B11) * LOG(1 - C11))</f>
        <v>2.8193413224414959E-2</v>
      </c>
    </row>
    <row r="12" spans="1:6" ht="15">
      <c r="A12" s="16">
        <v>84</v>
      </c>
      <c r="B12" s="15">
        <v>1</v>
      </c>
      <c r="C12">
        <f>1 / (1 + EXP(-(Iterazioni!$B$4 + Iterazioni!$C$4 * Dati!A12)))</f>
        <v>4.2737536555900256E-2</v>
      </c>
      <c r="D12">
        <f>C12 - Dati!B12</f>
        <v>-0.95726246344409971</v>
      </c>
      <c r="E12">
        <f>D12 * Dati!A12</f>
        <v>-80.410046929304372</v>
      </c>
      <c r="F12">
        <f xml:space="preserve"> - (Dati!B12 * LOG(C12) + (1 - Dati!B12) * LOG(1 - C12))</f>
        <v>1.3691905147178649</v>
      </c>
    </row>
    <row r="13" spans="1:6" ht="15">
      <c r="A13" s="16">
        <v>62</v>
      </c>
      <c r="B13" s="15">
        <v>1</v>
      </c>
      <c r="C13">
        <f>1 / (1 + EXP(-(Iterazioni!$B$4 + Iterazioni!$C$4 * Dati!A13)))</f>
        <v>9.1537906293324894E-2</v>
      </c>
      <c r="D13">
        <f>C13 - Dati!B13</f>
        <v>-0.90846209370667508</v>
      </c>
      <c r="E13">
        <f>D13 * Dati!A13</f>
        <v>-56.324649809813856</v>
      </c>
      <c r="F13">
        <f xml:space="preserve"> - (Dati!B13 * LOG(C13) + (1 - Dati!B13) * LOG(1 - C13))</f>
        <v>1.0383990252237125</v>
      </c>
    </row>
    <row r="14" spans="1:6" ht="15">
      <c r="A14" s="16">
        <v>53</v>
      </c>
      <c r="B14" s="15">
        <v>0</v>
      </c>
      <c r="C14">
        <f>1 / (1 + EXP(-(Iterazioni!$B$4 + Iterazioni!$C$4 * Dati!A14)))</f>
        <v>0.12325076464115273</v>
      </c>
      <c r="D14">
        <f>C14 - Dati!B14</f>
        <v>0.12325076464115273</v>
      </c>
      <c r="E14">
        <f>D14 * Dati!A14</f>
        <v>6.5322905259810948</v>
      </c>
      <c r="F14">
        <f xml:space="preserve"> - (Dati!B14 * LOG(C14) + (1 - Dati!B14) * LOG(1 - C14))</f>
        <v>5.7124604208453639E-2</v>
      </c>
    </row>
    <row r="15" spans="1:6" ht="15">
      <c r="A15" s="16">
        <v>76</v>
      </c>
      <c r="B15" s="15">
        <v>0</v>
      </c>
      <c r="C15">
        <f>1 / (1 + EXP(-(Iterazioni!$B$4 + Iterazioni!$C$4 * Dati!A15)))</f>
        <v>5.6625709766658296E-2</v>
      </c>
      <c r="D15">
        <f>C15 - Dati!B15</f>
        <v>5.6625709766658296E-2</v>
      </c>
      <c r="E15">
        <f>D15 * Dati!A15</f>
        <v>4.3035539422660305</v>
      </c>
      <c r="F15">
        <f xml:space="preserve"> - (Dati!B15 * LOG(C15) + (1 - Dati!B15) * LOG(1 - C15))</f>
        <v>2.5315963750628005E-2</v>
      </c>
    </row>
    <row r="16" spans="1:6" ht="15">
      <c r="A16" s="16">
        <v>51</v>
      </c>
      <c r="B16" s="15">
        <v>0</v>
      </c>
      <c r="C16">
        <f>1 / (1 + EXP(-(Iterazioni!$B$4 + Iterazioni!$C$4 * Dati!A16)))</f>
        <v>0.13147267638496224</v>
      </c>
      <c r="D16">
        <f>C16 - Dati!B16</f>
        <v>0.13147267638496224</v>
      </c>
      <c r="E16">
        <f>D16 * Dati!A16</f>
        <v>6.7051064956330739</v>
      </c>
      <c r="F16">
        <f xml:space="preserve"> - (Dati!B16 * LOG(C16) + (1 - Dati!B16) * LOG(1 - C16))</f>
        <v>6.1216514224854537E-2</v>
      </c>
    </row>
    <row r="17" spans="1:6" ht="15">
      <c r="A17" s="16">
        <v>80</v>
      </c>
      <c r="B17" s="15">
        <v>0</v>
      </c>
      <c r="C17">
        <f>1 / (1 + EXP(-(Iterazioni!$B$4 + Iterazioni!$C$4 * Dati!A17)))</f>
        <v>4.9219188323555749E-2</v>
      </c>
      <c r="D17">
        <f>C17 - Dati!B17</f>
        <v>4.9219188323555749E-2</v>
      </c>
      <c r="E17">
        <f>D17 * Dati!A17</f>
        <v>3.9375350658844601</v>
      </c>
      <c r="F17">
        <f xml:space="preserve"> - (Dati!B17 * LOG(C17) + (1 - Dati!B17) * LOG(1 - C17))</f>
        <v>2.1919591633726268E-2</v>
      </c>
    </row>
    <row r="18" spans="1:6" ht="15">
      <c r="A18" s="16">
        <v>56</v>
      </c>
      <c r="B18" s="15">
        <v>0</v>
      </c>
      <c r="C18">
        <f>1 / (1 + EXP(-(Iterazioni!$B$4 + Iterazioni!$C$4 * Dati!A18)))</f>
        <v>0.11174890826305649</v>
      </c>
      <c r="D18">
        <f>C18 - Dati!B18</f>
        <v>0.11174890826305649</v>
      </c>
      <c r="E18">
        <f>D18 * Dati!A18</f>
        <v>6.2579388627311632</v>
      </c>
      <c r="F18">
        <f xml:space="preserve"> - (Dati!B18 * LOG(C18) + (1 - Dati!B18) * LOG(1 - C18))</f>
        <v>5.1464250053057339E-2</v>
      </c>
    </row>
    <row r="19" spans="1:6" ht="15">
      <c r="A19" s="16">
        <v>49</v>
      </c>
      <c r="B19" s="15">
        <v>0</v>
      </c>
      <c r="C19">
        <f>1 / (1 + EXP(-(Iterazioni!$B$4 + Iterazioni!$C$4 * Dati!A19)))</f>
        <v>0.14015538412021766</v>
      </c>
      <c r="D19">
        <f>C19 - Dati!B19</f>
        <v>0.14015538412021766</v>
      </c>
      <c r="E19">
        <f>D19 * Dati!A19</f>
        <v>6.8676138218906653</v>
      </c>
      <c r="F19">
        <f xml:space="preserve"> - (Dati!B19 * LOG(C19) + (1 - Dati!B19) * LOG(1 - C19))</f>
        <v>6.5580023829757458E-2</v>
      </c>
    </row>
    <row r="20" spans="1:6" ht="15">
      <c r="A20" s="16">
        <v>53</v>
      </c>
      <c r="B20" s="15">
        <v>0</v>
      </c>
      <c r="C20">
        <f>1 / (1 + EXP(-(Iterazioni!$B$4 + Iterazioni!$C$4 * Dati!A20)))</f>
        <v>0.12325076464115273</v>
      </c>
      <c r="D20">
        <f>C20 - Dati!B20</f>
        <v>0.12325076464115273</v>
      </c>
      <c r="E20">
        <f>D20 * Dati!A20</f>
        <v>6.5322905259810948</v>
      </c>
      <c r="F20">
        <f xml:space="preserve"> - (Dati!B20 * LOG(C20) + (1 - Dati!B20) * LOG(1 - C20))</f>
        <v>5.7124604208453639E-2</v>
      </c>
    </row>
    <row r="21" spans="1:6" ht="15">
      <c r="A21" s="16">
        <v>63</v>
      </c>
      <c r="B21" s="15">
        <v>0</v>
      </c>
      <c r="C21">
        <f>1 / (1 + EXP(-(Iterazioni!$B$4 + Iterazioni!$C$4 * Dati!A21)))</f>
        <v>8.8507183089441818E-2</v>
      </c>
      <c r="D21">
        <f>C21 - Dati!B21</f>
        <v>8.8507183089441818E-2</v>
      </c>
      <c r="E21">
        <f>D21 * Dati!A21</f>
        <v>5.5759525346348342</v>
      </c>
      <c r="F21">
        <f xml:space="preserve"> - (Dati!B21 * LOG(C21) + (1 - Dati!B21) * LOG(1 - C21))</f>
        <v>4.0246749486678619E-2</v>
      </c>
    </row>
    <row r="22" spans="1:6" ht="15">
      <c r="A22" s="16">
        <v>76</v>
      </c>
      <c r="B22" s="15">
        <v>0</v>
      </c>
      <c r="C22">
        <f>1 / (1 + EXP(-(Iterazioni!$B$4 + Iterazioni!$C$4 * Dati!A22)))</f>
        <v>5.6625709766658296E-2</v>
      </c>
      <c r="D22">
        <f>C22 - Dati!B22</f>
        <v>5.6625709766658296E-2</v>
      </c>
      <c r="E22">
        <f>D22 * Dati!A22</f>
        <v>4.3035539422660305</v>
      </c>
      <c r="F22">
        <f xml:space="preserve"> - (Dati!B22 * LOG(C22) + (1 - Dati!B22) * LOG(1 - C22))</f>
        <v>2.5315963750628005E-2</v>
      </c>
    </row>
    <row r="23" spans="1:6" ht="15">
      <c r="A23" s="16">
        <v>34</v>
      </c>
      <c r="B23" s="15">
        <v>0</v>
      </c>
      <c r="C23">
        <f>1 / (1 + EXP(-(Iterazioni!$B$4 + Iterazioni!$C$4 * Dati!A23)))</f>
        <v>0.22114608468320845</v>
      </c>
      <c r="D23">
        <f>C23 - Dati!B23</f>
        <v>0.22114608468320845</v>
      </c>
      <c r="E23">
        <f>D23 * Dati!A23</f>
        <v>7.5189668792290876</v>
      </c>
      <c r="F23">
        <f xml:space="preserve"> - (Dati!B23 * LOG(C23) + (1 - Dati!B23) * LOG(1 - C23))</f>
        <v>0.10854399254734413</v>
      </c>
    </row>
    <row r="24" spans="1:6" ht="15">
      <c r="A24" s="16">
        <v>53</v>
      </c>
      <c r="B24" s="15">
        <v>0</v>
      </c>
      <c r="C24">
        <f>1 / (1 + EXP(-(Iterazioni!$B$4 + Iterazioni!$C$4 * Dati!A24)))</f>
        <v>0.12325076464115273</v>
      </c>
      <c r="D24">
        <f>C24 - Dati!B24</f>
        <v>0.12325076464115273</v>
      </c>
      <c r="E24">
        <f>D24 * Dati!A24</f>
        <v>6.5322905259810948</v>
      </c>
      <c r="F24">
        <f xml:space="preserve"> - (Dati!B24 * LOG(C24) + (1 - Dati!B24) * LOG(1 - C24))</f>
        <v>5.7124604208453639E-2</v>
      </c>
    </row>
    <row r="25" spans="1:6" ht="15">
      <c r="A25" s="16">
        <v>39</v>
      </c>
      <c r="B25" s="15">
        <v>0</v>
      </c>
      <c r="C25">
        <f>1 / (1 + EXP(-(Iterazioni!$B$4 + Iterazioni!$C$4 * Dati!A25)))</f>
        <v>0.19092668978702848</v>
      </c>
      <c r="D25">
        <f>C25 - Dati!B25</f>
        <v>0.19092668978702848</v>
      </c>
      <c r="E25">
        <f>D25 * Dati!A25</f>
        <v>7.4461409016941111</v>
      </c>
      <c r="F25">
        <f xml:space="preserve"> - (Dati!B25 * LOG(C25) + (1 - Dati!B25) * LOG(1 - C25))</f>
        <v>9.201212513867342E-2</v>
      </c>
    </row>
    <row r="26" spans="1:6" ht="15">
      <c r="A26" s="16">
        <v>41</v>
      </c>
      <c r="B26" s="15">
        <v>0</v>
      </c>
      <c r="C26">
        <f>1 / (1 + EXP(-(Iterazioni!$B$4 + Iterazioni!$C$4 * Dati!A26)))</f>
        <v>0.17975621839874642</v>
      </c>
      <c r="D26">
        <f>C26 - Dati!B26</f>
        <v>0.17975621839874642</v>
      </c>
      <c r="E26">
        <f>D26 * Dati!A26</f>
        <v>7.3700049543486035</v>
      </c>
      <c r="F26">
        <f xml:space="preserve"> - (Dati!B26 * LOG(C26) + (1 - Dati!B26) * LOG(1 - C26))</f>
        <v>8.6057053385070734E-2</v>
      </c>
    </row>
    <row r="27" spans="1:6" ht="15">
      <c r="A27" s="16">
        <v>64</v>
      </c>
      <c r="B27" s="15">
        <v>0</v>
      </c>
      <c r="C27">
        <f>1 / (1 + EXP(-(Iterazioni!$B$4 + Iterazioni!$C$4 * Dati!A27)))</f>
        <v>8.5567352594966631E-2</v>
      </c>
      <c r="D27">
        <f>C27 - Dati!B27</f>
        <v>8.5567352594966631E-2</v>
      </c>
      <c r="E27">
        <f>D27 * Dati!A27</f>
        <v>5.4763105660778644</v>
      </c>
      <c r="F27">
        <f xml:space="preserve"> - (Dati!B27 * LOG(C27) + (1 - Dati!B27) * LOG(1 - C27))</f>
        <v>3.8848276997347171E-2</v>
      </c>
    </row>
    <row r="28" spans="1:6" ht="15">
      <c r="A28" s="16">
        <v>66</v>
      </c>
      <c r="B28" s="15">
        <v>0</v>
      </c>
      <c r="C28">
        <f>1 / (1 + EXP(-(Iterazioni!$B$4 + Iterazioni!$C$4 * Dati!A28)))</f>
        <v>7.9951954980993722E-2</v>
      </c>
      <c r="D28">
        <f>C28 - Dati!B28</f>
        <v>7.9951954980993722E-2</v>
      </c>
      <c r="E28">
        <f>D28 * Dati!A28</f>
        <v>5.2768290287455857</v>
      </c>
      <c r="F28">
        <f xml:space="preserve"> - (Dati!B28 * LOG(C28) + (1 - Dati!B28) * LOG(1 - C28))</f>
        <v>3.6189493152462608E-2</v>
      </c>
    </row>
    <row r="29" spans="1:6" ht="15">
      <c r="A29" s="16">
        <v>79</v>
      </c>
      <c r="B29" s="15">
        <v>1</v>
      </c>
      <c r="C29">
        <f>1 / (1 + EXP(-(Iterazioni!$B$4 + Iterazioni!$C$4 * Dati!A29)))</f>
        <v>5.0979829421084963E-2</v>
      </c>
      <c r="D29">
        <f>C29 - Dati!B29</f>
        <v>-0.94902017057891508</v>
      </c>
      <c r="E29">
        <f>D29 * Dati!A29</f>
        <v>-74.972593475734286</v>
      </c>
      <c r="F29">
        <f xml:space="preserve"> - (Dati!B29 * LOG(C29) + (1 - Dati!B29) * LOG(1 - C29))</f>
        <v>1.2926016220171135</v>
      </c>
    </row>
    <row r="30" spans="1:6" ht="15">
      <c r="A30" s="16">
        <v>78</v>
      </c>
      <c r="B30" s="15">
        <v>0</v>
      </c>
      <c r="C30">
        <f>1 / (1 + EXP(-(Iterazioni!$B$4 + Iterazioni!$C$4 * Dati!A30)))</f>
        <v>5.2799953659628251E-2</v>
      </c>
      <c r="D30">
        <f>C30 - Dati!B30</f>
        <v>5.2799953659628251E-2</v>
      </c>
      <c r="E30">
        <f>D30 * Dati!A30</f>
        <v>4.1183963854510033</v>
      </c>
      <c r="F30">
        <f xml:space="preserve"> - (Dati!B30 * LOG(C30) + (1 - Dati!B30) * LOG(1 - C30))</f>
        <v>2.3558289373934928E-2</v>
      </c>
    </row>
    <row r="31" spans="1:6" ht="15">
      <c r="A31" s="16">
        <v>74</v>
      </c>
      <c r="B31" s="15">
        <v>1</v>
      </c>
      <c r="C31">
        <f>1 / (1 + EXP(-(Iterazioni!$B$4 + Iterazioni!$C$4 * Dati!A31)))</f>
        <v>6.0710903360977779E-2</v>
      </c>
      <c r="D31">
        <f>C31 - Dati!B31</f>
        <v>-0.93928909663902227</v>
      </c>
      <c r="E31">
        <f>D31 * Dati!A31</f>
        <v>-69.507393151287644</v>
      </c>
      <c r="F31">
        <f xml:space="preserve"> - (Dati!B31 * LOG(C31) + (1 - Dati!B31) * LOG(1 - C31))</f>
        <v>1.2167333049005815</v>
      </c>
    </row>
    <row r="32" spans="1:6" ht="15">
      <c r="A32" s="16">
        <v>75</v>
      </c>
      <c r="B32" s="15">
        <v>0</v>
      </c>
      <c r="C32">
        <f>1 / (1 + EXP(-(Iterazioni!$B$4 + Iterazioni!$C$4 * Dati!A32)))</f>
        <v>5.8634953728027857E-2</v>
      </c>
      <c r="D32">
        <f>C32 - Dati!B32</f>
        <v>5.8634953728027857E-2</v>
      </c>
      <c r="E32">
        <f>D32 * Dati!A32</f>
        <v>4.3976215296020893</v>
      </c>
      <c r="F32">
        <f xml:space="preserve"> - (Dati!B32 * LOG(C32) + (1 - Dati!B32) * LOG(1 - C32))</f>
        <v>2.6241931473469381E-2</v>
      </c>
    </row>
    <row r="33" spans="1:6" ht="15">
      <c r="A33" s="16">
        <v>83</v>
      </c>
      <c r="B33" s="15">
        <v>1</v>
      </c>
      <c r="C33">
        <f>1 / (1 + EXP(-(Iterazioni!$B$4 + Iterazioni!$C$4 * Dati!A33)))</f>
        <v>4.4277117100373589E-2</v>
      </c>
      <c r="D33">
        <f>C33 - Dati!B33</f>
        <v>-0.95572288289962637</v>
      </c>
      <c r="E33">
        <f>D33 * Dati!A33</f>
        <v>-79.32499928066899</v>
      </c>
      <c r="F33">
        <f xml:space="preserve"> - (Dati!B33 * LOG(C33) + (1 - Dati!B33) * LOG(1 - C33))</f>
        <v>1.353820663948661</v>
      </c>
    </row>
    <row r="34" spans="1:6" ht="15">
      <c r="A34" s="16">
        <v>72</v>
      </c>
      <c r="B34" s="15">
        <v>0</v>
      </c>
      <c r="C34">
        <f>1 / (1 + EXP(-(Iterazioni!$B$4 + Iterazioni!$C$4 * Dati!A34)))</f>
        <v>6.5070489528025147E-2</v>
      </c>
      <c r="D34">
        <f>C34 - Dati!B34</f>
        <v>6.5070489528025147E-2</v>
      </c>
      <c r="E34">
        <f>D34 * Dati!A34</f>
        <v>4.6850752460178109</v>
      </c>
      <c r="F34">
        <f xml:space="preserve"> - (Dati!B34 * LOG(C34) + (1 - Dati!B34) * LOG(1 - C34))</f>
        <v>2.9221131766064445E-2</v>
      </c>
    </row>
    <row r="35" spans="1:6" ht="15">
      <c r="A35" s="16">
        <v>51</v>
      </c>
      <c r="B35" s="15">
        <v>0</v>
      </c>
      <c r="C35">
        <f>1 / (1 + EXP(-(Iterazioni!$B$4 + Iterazioni!$C$4 * Dati!A35)))</f>
        <v>0.13147267638496224</v>
      </c>
      <c r="D35">
        <f>C35 - Dati!B35</f>
        <v>0.13147267638496224</v>
      </c>
      <c r="E35">
        <f>D35 * Dati!A35</f>
        <v>6.7051064956330739</v>
      </c>
      <c r="F35">
        <f xml:space="preserve"> - (Dati!B35 * LOG(C35) + (1 - Dati!B35) * LOG(1 - C35))</f>
        <v>6.1216514224854537E-2</v>
      </c>
    </row>
    <row r="36" spans="1:6" ht="15">
      <c r="A36" s="16">
        <v>32</v>
      </c>
      <c r="B36" s="15">
        <v>0</v>
      </c>
      <c r="C36">
        <f>1 / (1 + EXP(-(Iterazioni!$B$4 + Iterazioni!$C$4 * Dati!A36)))</f>
        <v>0.23415437418020293</v>
      </c>
      <c r="D36">
        <f>C36 - Dati!B36</f>
        <v>0.23415437418020293</v>
      </c>
      <c r="E36">
        <f>D36 * Dati!A36</f>
        <v>7.4929399737664939</v>
      </c>
      <c r="F36">
        <f xml:space="preserve"> - (Dati!B36 * LOG(C36) + (1 - Dati!B36) * LOG(1 - C36))</f>
        <v>0.11585876380249863</v>
      </c>
    </row>
    <row r="37" spans="1:6" ht="15">
      <c r="A37" s="16">
        <v>34</v>
      </c>
      <c r="B37" s="15">
        <v>0</v>
      </c>
      <c r="C37">
        <f>1 / (1 + EXP(-(Iterazioni!$B$4 + Iterazioni!$C$4 * Dati!A37)))</f>
        <v>0.22114608468320845</v>
      </c>
      <c r="D37">
        <f>C37 - Dati!B37</f>
        <v>0.22114608468320845</v>
      </c>
      <c r="E37">
        <f>D37 * Dati!A37</f>
        <v>7.5189668792290876</v>
      </c>
      <c r="F37">
        <f xml:space="preserve"> - (Dati!B37 * LOG(C37) + (1 - Dati!B37) * LOG(1 - C37))</f>
        <v>0.10854399254734413</v>
      </c>
    </row>
    <row r="38" spans="1:6" ht="15">
      <c r="A38" s="16">
        <v>68</v>
      </c>
      <c r="B38" s="15">
        <v>0</v>
      </c>
      <c r="C38">
        <f>1 / (1 + EXP(-(Iterazioni!$B$4 + Iterazioni!$C$4 * Dati!A38)))</f>
        <v>7.4674976717365144E-2</v>
      </c>
      <c r="D38">
        <f>C38 - Dati!B38</f>
        <v>7.4674976717365144E-2</v>
      </c>
      <c r="E38">
        <f>D38 * Dati!A38</f>
        <v>5.0778984167808296</v>
      </c>
      <c r="F38">
        <f xml:space="preserve"> - (Dati!B38 * LOG(C38) + (1 - Dati!B38) * LOG(1 - C38))</f>
        <v>3.3705693180398781E-2</v>
      </c>
    </row>
    <row r="39" spans="1:6" ht="15">
      <c r="A39" s="16">
        <v>51</v>
      </c>
      <c r="B39" s="15">
        <v>0</v>
      </c>
      <c r="C39">
        <f>1 / (1 + EXP(-(Iterazioni!$B$4 + Iterazioni!$C$4 * Dati!A39)))</f>
        <v>0.13147267638496224</v>
      </c>
      <c r="D39">
        <f>C39 - Dati!B39</f>
        <v>0.13147267638496224</v>
      </c>
      <c r="E39">
        <f>D39 * Dati!A39</f>
        <v>6.7051064956330739</v>
      </c>
      <c r="F39">
        <f xml:space="preserve"> - (Dati!B39 * LOG(C39) + (1 - Dati!B39) * LOG(1 - C39))</f>
        <v>6.1216514224854537E-2</v>
      </c>
    </row>
    <row r="40" spans="1:6" ht="15">
      <c r="A40" s="16">
        <v>76</v>
      </c>
      <c r="B40" s="15">
        <v>1</v>
      </c>
      <c r="C40">
        <f>1 / (1 + EXP(-(Iterazioni!$B$4 + Iterazioni!$C$4 * Dati!A40)))</f>
        <v>5.6625709766658296E-2</v>
      </c>
      <c r="D40">
        <f>C40 - Dati!B40</f>
        <v>-0.94337429023334174</v>
      </c>
      <c r="E40">
        <f>D40 * Dati!A40</f>
        <v>-71.696446057733965</v>
      </c>
      <c r="F40">
        <f xml:space="preserve"> - (Dati!B40 * LOG(C40) + (1 - Dati!B40) * LOG(1 - C40))</f>
        <v>1.2469863413444753</v>
      </c>
    </row>
    <row r="41" spans="1:6" ht="15">
      <c r="A41" s="16">
        <v>72</v>
      </c>
      <c r="B41" s="15">
        <v>1</v>
      </c>
      <c r="C41">
        <f>1 / (1 + EXP(-(Iterazioni!$B$4 + Iterazioni!$C$4 * Dati!A41)))</f>
        <v>6.5070489528025147E-2</v>
      </c>
      <c r="D41">
        <f>C41 - Dati!B41</f>
        <v>-0.93492951047197481</v>
      </c>
      <c r="E41">
        <f>D41 * Dati!A41</f>
        <v>-67.314924753982183</v>
      </c>
      <c r="F41">
        <f xml:space="preserve"> - (Dati!B41 * LOG(C41) + (1 - Dati!B41) * LOG(1 - C41))</f>
        <v>1.1866159260382303</v>
      </c>
    </row>
    <row r="42" spans="1:6" ht="15">
      <c r="A42" s="16">
        <v>46</v>
      </c>
      <c r="B42" s="15">
        <v>0</v>
      </c>
      <c r="C42">
        <f>1 / (1 + EXP(-(Iterazioni!$B$4 + Iterazioni!$C$4 * Dati!A42)))</f>
        <v>0.15407385387469932</v>
      </c>
      <c r="D42">
        <f>C42 - Dati!B42</f>
        <v>0.15407385387469932</v>
      </c>
      <c r="E42">
        <f>D42 * Dati!A42</f>
        <v>7.0873972782361685</v>
      </c>
      <c r="F42">
        <f xml:space="preserve"> - (Dati!B42 * LOG(C42) + (1 - Dati!B42) * LOG(1 - C42))</f>
        <v>7.2667551535844768E-2</v>
      </c>
    </row>
    <row r="43" spans="1:6" ht="15">
      <c r="A43" s="16">
        <v>75</v>
      </c>
      <c r="B43" s="15">
        <v>0</v>
      </c>
      <c r="C43">
        <f>1 / (1 + EXP(-(Iterazioni!$B$4 + Iterazioni!$C$4 * Dati!A43)))</f>
        <v>5.8634953728027857E-2</v>
      </c>
      <c r="D43">
        <f>C43 - Dati!B43</f>
        <v>5.8634953728027857E-2</v>
      </c>
      <c r="E43">
        <f>D43 * Dati!A43</f>
        <v>4.3976215296020893</v>
      </c>
      <c r="F43">
        <f xml:space="preserve"> - (Dati!B43 * LOG(C43) + (1 - Dati!B43) * LOG(1 - C43))</f>
        <v>2.6241931473469381E-2</v>
      </c>
    </row>
    <row r="44" spans="1:6" ht="15">
      <c r="A44" s="16">
        <v>60</v>
      </c>
      <c r="B44" s="15">
        <v>0</v>
      </c>
      <c r="C44">
        <f>1 / (1 + EXP(-(Iterazioni!$B$4 + Iterazioni!$C$4 * Dati!A44)))</f>
        <v>9.7880468900818363E-2</v>
      </c>
      <c r="D44">
        <f>C44 - Dati!B44</f>
        <v>9.7880468900818363E-2</v>
      </c>
      <c r="E44">
        <f>D44 * Dati!A44</f>
        <v>5.8728281340491018</v>
      </c>
      <c r="F44">
        <f xml:space="preserve"> - (Dati!B44 * LOG(C44) + (1 - Dati!B44) * LOG(1 - C44))</f>
        <v>4.4735914500762176E-2</v>
      </c>
    </row>
    <row r="45" spans="1:6" ht="15">
      <c r="A45" s="16">
        <v>39</v>
      </c>
      <c r="B45" s="15">
        <v>0</v>
      </c>
      <c r="C45">
        <f>1 / (1 + EXP(-(Iterazioni!$B$4 + Iterazioni!$C$4 * Dati!A45)))</f>
        <v>0.19092668978702848</v>
      </c>
      <c r="D45">
        <f>C45 - Dati!B45</f>
        <v>0.19092668978702848</v>
      </c>
      <c r="E45">
        <f>D45 * Dati!A45</f>
        <v>7.4461409016941111</v>
      </c>
      <c r="F45">
        <f xml:space="preserve"> - (Dati!B45 * LOG(C45) + (1 - Dati!B45) * LOG(1 - C45))</f>
        <v>9.201212513867342E-2</v>
      </c>
    </row>
    <row r="46" spans="1:6" ht="15">
      <c r="A46" s="17">
        <v>61</v>
      </c>
      <c r="B46" s="18">
        <v>0</v>
      </c>
      <c r="C46">
        <f>1 / (1 + EXP(-(Iterazioni!$B$4 + Iterazioni!$C$4 * Dati!A46)))</f>
        <v>9.4661631668687019E-2</v>
      </c>
      <c r="D46">
        <f>C46 - Dati!B46</f>
        <v>9.4661631668687019E-2</v>
      </c>
      <c r="E46">
        <f>D46 * Dati!A46</f>
        <v>5.7743595317899086</v>
      </c>
      <c r="F46">
        <f xml:space="preserve"> - (Dati!B46 * LOG(C46) + (1 - Dati!B46) * LOG(1 - C46))</f>
        <v>4.3189073795559474E-2</v>
      </c>
    </row>
    <row r="47" spans="1:6" ht="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7376-CF89-4C98-BC8C-B9E6C7634457}">
  <dimension ref="A1:F47"/>
  <sheetViews>
    <sheetView zoomScale="115" workbookViewId="0">
      <selection activeCell="H2" sqref="H2"/>
    </sheetView>
  </sheetViews>
  <sheetFormatPr defaultRowHeight="14.45"/>
  <cols>
    <col min="1" max="6" width="13.28515625" customWidth="1"/>
  </cols>
  <sheetData>
    <row r="1" spans="1:6" ht="15">
      <c r="A1" s="21" t="s">
        <v>6</v>
      </c>
      <c r="B1" s="22" t="s">
        <v>7</v>
      </c>
      <c r="C1" s="24" t="s">
        <v>8</v>
      </c>
      <c r="D1" s="24" t="s">
        <v>9</v>
      </c>
      <c r="E1" s="24" t="s">
        <v>10</v>
      </c>
      <c r="F1" s="24" t="s">
        <v>11</v>
      </c>
    </row>
    <row r="2" spans="1:6" ht="15">
      <c r="A2" s="14">
        <v>35</v>
      </c>
      <c r="B2" s="19">
        <v>0</v>
      </c>
      <c r="C2">
        <f>1 / (1 + EXP(-(Iterazioni!$B$5 + Iterazioni!$C$5 * Dati!A2)))</f>
        <v>0.79067517495312523</v>
      </c>
      <c r="D2">
        <f>C2 - Dati!B2</f>
        <v>0.79067517495312523</v>
      </c>
      <c r="E2">
        <f>D2 * Dati!A2</f>
        <v>27.673631123359382</v>
      </c>
      <c r="F2">
        <f xml:space="preserve"> - (Dati!B2 * LOG(C2) + (1 - Dati!B2) * LOG(1 - C2))</f>
        <v>0.67917926310167598</v>
      </c>
    </row>
    <row r="3" spans="1:6" ht="15">
      <c r="A3" s="14">
        <v>45</v>
      </c>
      <c r="B3" s="19">
        <v>0</v>
      </c>
      <c r="C3">
        <f>1 / (1 + EXP(-([1]Iterazioni!$B$5 + [1]Iterazioni!$C$5 * [1]Dati!A3)))</f>
        <v>0.85496428631305721</v>
      </c>
      <c r="D3">
        <f>C3 - [1]Dati!B3</f>
        <v>0.85496428631305721</v>
      </c>
      <c r="E3">
        <f>D3 * [1]Dati!A3</f>
        <v>38.473392884087573</v>
      </c>
      <c r="F3">
        <f xml:space="preserve"> - ([1]Dati!B3 * LOG(C3) + (1 - [1]Dati!B3) * LOG(1 - C3))</f>
        <v>0.8385250436451418</v>
      </c>
    </row>
    <row r="4" spans="1:6" ht="15">
      <c r="A4" s="14">
        <v>55</v>
      </c>
      <c r="B4" s="19">
        <v>0</v>
      </c>
      <c r="C4">
        <f>1 / (1 + EXP(-([1]Iterazioni!$B$5 + [1]Iterazioni!$C$5 * [1]Dati!A4)))</f>
        <v>0.89738365527810304</v>
      </c>
      <c r="D4">
        <f>C4 - [1]Dati!B4</f>
        <v>0.89738365527810304</v>
      </c>
      <c r="E4">
        <f>D4 * [1]Dati!A4</f>
        <v>49.35610104029567</v>
      </c>
      <c r="F4">
        <f xml:space="preserve"> - ([1]Dati!B4 * LOG(C4) + (1 - [1]Dati!B4) * LOG(1 - C4))</f>
        <v>0.98878345932966027</v>
      </c>
    </row>
    <row r="5" spans="1:6" ht="15">
      <c r="A5" s="14">
        <v>25</v>
      </c>
      <c r="B5" s="19">
        <v>0</v>
      </c>
      <c r="C5">
        <f>1 / (1 + EXP(-([1]Iterazioni!$B$5 + [1]Iterazioni!$C$5 * [1]Dati!A5)))</f>
        <v>0.72815196289769979</v>
      </c>
      <c r="D5">
        <f>C5 - [1]Dati!B5</f>
        <v>0.72815196289769979</v>
      </c>
      <c r="E5">
        <f>D5 * [1]Dati!A5</f>
        <v>18.203799072442493</v>
      </c>
      <c r="F5">
        <f xml:space="preserve"> - ([1]Dati!B5 * LOG(C5) + (1 - [1]Dati!B5) * LOG(1 - C5))</f>
        <v>0.56567379850452615</v>
      </c>
    </row>
    <row r="6" spans="1:6" ht="15">
      <c r="A6" s="14">
        <v>65</v>
      </c>
      <c r="B6" s="19">
        <v>1</v>
      </c>
      <c r="C6">
        <f>1 / (1 + EXP(-([1]Iterazioni!$B$5 + [1]Iterazioni!$C$5 * [1]Dati!A6)))</f>
        <v>0.92843490562664865</v>
      </c>
      <c r="D6">
        <f>C6 - [1]Dati!B6</f>
        <v>-7.1565094373351346E-2</v>
      </c>
      <c r="E6">
        <f>D6 * [1]Dati!A6</f>
        <v>-4.6517311342678376</v>
      </c>
      <c r="F6">
        <f xml:space="preserve"> - ([1]Dati!B6 * LOG(C6) + (1 - [1]Dati!B6) * LOG(1 - C6))</f>
        <v>3.2248540085927244E-2</v>
      </c>
    </row>
    <row r="7" spans="1:6" ht="15">
      <c r="A7" s="16">
        <v>80</v>
      </c>
      <c r="B7" s="19">
        <v>0</v>
      </c>
      <c r="C7">
        <f>1 / (1 + EXP(-([1]Iterazioni!$B$5 + [1]Iterazioni!$C$5 * [1]Dati!A7)))</f>
        <v>0.95908577380534255</v>
      </c>
      <c r="D7">
        <f>C7 - [1]Dati!B7</f>
        <v>0.95908577380534255</v>
      </c>
      <c r="E7">
        <f>D7 * [1]Dati!A7</f>
        <v>76.726861904427409</v>
      </c>
      <c r="F7">
        <f xml:space="preserve"> - ([1]Dati!B7 * LOG(C7) + (1 - [1]Dati!B7) * LOG(1 - C7))</f>
        <v>1.3881256581642434</v>
      </c>
    </row>
    <row r="8" spans="1:6" ht="15">
      <c r="A8" s="16">
        <v>48</v>
      </c>
      <c r="B8" s="19">
        <v>0</v>
      </c>
      <c r="C8">
        <f>1 / (1 + EXP(-([1]Iterazioni!$B$5 + [1]Iterazioni!$C$5 * [1]Dati!A8)))</f>
        <v>0.86902912333698956</v>
      </c>
      <c r="D8">
        <f>C8 - [1]Dati!B8</f>
        <v>0.86902912333698956</v>
      </c>
      <c r="E8">
        <f>D8 * [1]Dati!A8</f>
        <v>41.713397920175495</v>
      </c>
      <c r="F8">
        <f xml:space="preserve"> - ([1]Dati!B8 * LOG(C8) + (1 - [1]Dati!B8) * LOG(1 - C8))</f>
        <v>0.88282526549456197</v>
      </c>
    </row>
    <row r="9" spans="1:6" ht="15">
      <c r="A9" s="16">
        <v>82</v>
      </c>
      <c r="B9" s="19">
        <v>0</v>
      </c>
      <c r="C9">
        <f>1 / (1 + EXP(-([1]Iterazioni!$B$5 + [1]Iterazioni!$C$5 * [1]Dati!A9)))</f>
        <v>0.96207142814032409</v>
      </c>
      <c r="D9">
        <f>C9 - [1]Dati!B9</f>
        <v>0.96207142814032409</v>
      </c>
      <c r="E9">
        <f>D9 * [1]Dati!A9</f>
        <v>78.889857107506572</v>
      </c>
      <c r="F9">
        <f xml:space="preserve"> - ([1]Dati!B9 * LOG(C9) + (1 - [1]Dati!B9) * LOG(1 - C9))</f>
        <v>1.4210335096604825</v>
      </c>
    </row>
    <row r="10" spans="1:6" ht="15">
      <c r="A10" s="16">
        <v>81</v>
      </c>
      <c r="B10" s="19">
        <v>0</v>
      </c>
      <c r="C10">
        <f>1 / (1 + EXP(-([1]Iterazioni!$B$5 + [1]Iterazioni!$C$5 * [1]Dati!A10)))</f>
        <v>0.96060571704010433</v>
      </c>
      <c r="D10">
        <f>C10 - [1]Dati!B10</f>
        <v>0.96060571704010433</v>
      </c>
      <c r="E10">
        <f>D10 * [1]Dati!A10</f>
        <v>77.80906308024845</v>
      </c>
      <c r="F10">
        <f xml:space="preserve"> - ([1]Dati!B10 * LOG(C10) + (1 - [1]Dati!B10) * LOG(1 - C10))</f>
        <v>1.404566799979593</v>
      </c>
    </row>
    <row r="11" spans="1:6" ht="15">
      <c r="A11" s="16">
        <v>73</v>
      </c>
      <c r="B11" s="19">
        <v>0</v>
      </c>
      <c r="C11">
        <f>1 / (1 + EXP(-([1]Iterazioni!$B$5 + [1]Iterazioni!$C$5 * [1]Dati!A11)))</f>
        <v>0.94676919551195771</v>
      </c>
      <c r="D11">
        <f>C11 - [1]Dati!B11</f>
        <v>0.94676919551195771</v>
      </c>
      <c r="E11">
        <f>D11 * [1]Dati!A11</f>
        <v>69.114151272372908</v>
      </c>
      <c r="F11">
        <f xml:space="preserve"> - ([1]Dati!B11 * LOG(C11) + (1 - [1]Dati!B11) * LOG(1 - C11))</f>
        <v>1.2738369701962597</v>
      </c>
    </row>
    <row r="12" spans="1:6" ht="15">
      <c r="A12" s="16">
        <v>84</v>
      </c>
      <c r="B12" s="19">
        <v>1</v>
      </c>
      <c r="C12">
        <f>1 / (1 + EXP(-([1]Iterazioni!$B$5 + [1]Iterazioni!$C$5 * [1]Dati!A12)))</f>
        <v>0.9648471944195478</v>
      </c>
      <c r="D12">
        <f>C12 - [1]Dati!B12</f>
        <v>-3.5152805580452195E-2</v>
      </c>
      <c r="E12">
        <f>D12 * [1]Dati!A12</f>
        <v>-2.9528356687579844</v>
      </c>
      <c r="F12">
        <f xml:space="preserve"> - ([1]Dati!B12 * LOG(C12) + (1 - [1]Dati!B12) * LOG(1 - C12))</f>
        <v>1.5541461656347339E-2</v>
      </c>
    </row>
    <row r="13" spans="1:6" ht="15">
      <c r="A13" s="16">
        <v>62</v>
      </c>
      <c r="B13" s="19">
        <v>1</v>
      </c>
      <c r="C13">
        <f>1 / (1 + EXP(-([1]Iterazioni!$B$5 + [1]Iterazioni!$C$5 * [1]Dati!A13)))</f>
        <v>0.92016352024531811</v>
      </c>
      <c r="D13">
        <f>C13 - [1]Dati!B13</f>
        <v>-7.9836479754681888E-2</v>
      </c>
      <c r="E13">
        <f>D13 * [1]Dati!A13</f>
        <v>-4.9498617447902769</v>
      </c>
      <c r="F13">
        <f xml:space="preserve"> - ([1]Dati!B13 * LOG(C13) + (1 - [1]Dati!B13) * LOG(1 - C13))</f>
        <v>3.6134988274223373E-2</v>
      </c>
    </row>
    <row r="14" spans="1:6" ht="15">
      <c r="A14" s="16">
        <v>53</v>
      </c>
      <c r="B14" s="19">
        <v>0</v>
      </c>
      <c r="C14">
        <f>1 / (1 + EXP(-([1]Iterazioni!$B$5 + [1]Iterazioni!$C$5 * [1]Dati!A14)))</f>
        <v>0.88988872099503913</v>
      </c>
      <c r="D14">
        <f>C14 - [1]Dati!B14</f>
        <v>0.88988872099503913</v>
      </c>
      <c r="E14">
        <f>D14 * [1]Dati!A14</f>
        <v>47.16410221273707</v>
      </c>
      <c r="F14">
        <f xml:space="preserve"> - ([1]Dati!B14 * LOG(C14) + (1 - [1]Dati!B14) * LOG(1 - C14))</f>
        <v>0.95816819275641874</v>
      </c>
    </row>
    <row r="15" spans="1:6" ht="15">
      <c r="A15" s="16">
        <v>76</v>
      </c>
      <c r="B15" s="19">
        <v>0</v>
      </c>
      <c r="C15">
        <f>1 / (1 + EXP(-([1]Iterazioni!$B$5 + [1]Iterazioni!$C$5 * [1]Dati!A15)))</f>
        <v>0.95242663580330789</v>
      </c>
      <c r="D15">
        <f>C15 - [1]Dati!B15</f>
        <v>0.95242663580330789</v>
      </c>
      <c r="E15">
        <f>D15 * [1]Dati!A15</f>
        <v>72.384424321051398</v>
      </c>
      <c r="F15">
        <f xml:space="preserve"> - ([1]Dati!B15 * LOG(C15) + (1 - [1]Dati!B15) * LOG(1 - C15))</f>
        <v>1.3226361359377115</v>
      </c>
    </row>
    <row r="16" spans="1:6" ht="15">
      <c r="A16" s="16">
        <v>51</v>
      </c>
      <c r="B16" s="19">
        <v>0</v>
      </c>
      <c r="C16">
        <f>1 / (1 + EXP(-([1]Iterazioni!$B$5 + [1]Iterazioni!$C$5 * [1]Dati!A16)))</f>
        <v>0.88191840027773227</v>
      </c>
      <c r="D16">
        <f>C16 - [1]Dati!B16</f>
        <v>0.88191840027773227</v>
      </c>
      <c r="E16">
        <f>D16 * [1]Dati!A16</f>
        <v>44.977838414164346</v>
      </c>
      <c r="F16">
        <f xml:space="preserve"> - ([1]Dati!B16 * LOG(C16) + (1 - [1]Dati!B16) * LOG(1 - C16))</f>
        <v>0.92781777183330216</v>
      </c>
    </row>
    <row r="17" spans="1:6" ht="15">
      <c r="A17" s="16">
        <v>80</v>
      </c>
      <c r="B17" s="19">
        <v>0</v>
      </c>
      <c r="C17">
        <f>1 / (1 + EXP(-([1]Iterazioni!$B$5 + [1]Iterazioni!$C$5 * [1]Dati!A17)))</f>
        <v>0.95908577380534255</v>
      </c>
      <c r="D17">
        <f>C17 - [1]Dati!B17</f>
        <v>0.95908577380534255</v>
      </c>
      <c r="E17">
        <f>D17 * [1]Dati!A17</f>
        <v>76.726861904427409</v>
      </c>
      <c r="F17">
        <f xml:space="preserve"> - ([1]Dati!B17 * LOG(C17) + (1 - [1]Dati!B17) * LOG(1 - C17))</f>
        <v>1.3881256581642434</v>
      </c>
    </row>
    <row r="18" spans="1:6" ht="15">
      <c r="A18" s="16">
        <v>56</v>
      </c>
      <c r="B18" s="19">
        <v>0</v>
      </c>
      <c r="C18">
        <f>1 / (1 + EXP(-([1]Iterazioni!$B$5 + [1]Iterazioni!$C$5 * [1]Dati!A18)))</f>
        <v>0.90095909511204653</v>
      </c>
      <c r="D18">
        <f>C18 - [1]Dati!B18</f>
        <v>0.90095909511204653</v>
      </c>
      <c r="E18">
        <f>D18 * [1]Dati!A18</f>
        <v>50.453709326274605</v>
      </c>
      <c r="F18">
        <f xml:space="preserve"> - ([1]Dati!B18 * LOG(C18) + (1 - [1]Dati!B18) * LOG(1 - C18))</f>
        <v>1.0041854003711133</v>
      </c>
    </row>
    <row r="19" spans="1:6" ht="15">
      <c r="A19" s="16">
        <v>49</v>
      </c>
      <c r="B19" s="19">
        <v>0</v>
      </c>
      <c r="C19">
        <f>1 / (1 + EXP(-([1]Iterazioni!$B$5 + [1]Iterazioni!$C$5 * [1]Dati!A19)))</f>
        <v>0.87345319580742997</v>
      </c>
      <c r="D19">
        <f>C19 - [1]Dati!B19</f>
        <v>0.87345319580742997</v>
      </c>
      <c r="E19">
        <f>D19 * [1]Dati!A19</f>
        <v>42.799206594564069</v>
      </c>
      <c r="F19">
        <f xml:space="preserve"> - ([1]Dati!B19 * LOG(C19) + (1 - [1]Dati!B19) * LOG(1 - C19))</f>
        <v>0.89774881802099504</v>
      </c>
    </row>
    <row r="20" spans="1:6" ht="15">
      <c r="A20" s="16">
        <v>53</v>
      </c>
      <c r="B20" s="19">
        <v>0</v>
      </c>
      <c r="C20">
        <f>1 / (1 + EXP(-([1]Iterazioni!$B$5 + [1]Iterazioni!$C$5 * [1]Dati!A20)))</f>
        <v>0.88988872099503913</v>
      </c>
      <c r="D20">
        <f>C20 - [1]Dati!B20</f>
        <v>0.88988872099503913</v>
      </c>
      <c r="E20">
        <f>D20 * [1]Dati!A20</f>
        <v>47.16410221273707</v>
      </c>
      <c r="F20">
        <f xml:space="preserve"> - ([1]Dati!B20 * LOG(C20) + (1 - [1]Dati!B20) * LOG(1 - C20))</f>
        <v>0.95816819275641874</v>
      </c>
    </row>
    <row r="21" spans="1:6" ht="15">
      <c r="A21" s="16">
        <v>63</v>
      </c>
      <c r="B21" s="19">
        <v>0</v>
      </c>
      <c r="C21">
        <f>1 / (1 + EXP(-([1]Iterazioni!$B$5 + [1]Iterazioni!$C$5 * [1]Dati!A21)))</f>
        <v>0.92301333884315706</v>
      </c>
      <c r="D21">
        <f>C21 - [1]Dati!B21</f>
        <v>0.92301333884315706</v>
      </c>
      <c r="E21">
        <f>D21 * [1]Dati!A21</f>
        <v>58.149840347118896</v>
      </c>
      <c r="F21">
        <f xml:space="preserve"> - ([1]Dati!B21 * LOG(C21) + (1 - [1]Dati!B21) * LOG(1 - C21))</f>
        <v>1.1135845149288237</v>
      </c>
    </row>
    <row r="22" spans="1:6" ht="15">
      <c r="A22" s="16">
        <v>76</v>
      </c>
      <c r="B22" s="19">
        <v>0</v>
      </c>
      <c r="C22">
        <f>1 / (1 + EXP(-([1]Iterazioni!$B$5 + [1]Iterazioni!$C$5 * [1]Dati!A22)))</f>
        <v>0.95242663580330789</v>
      </c>
      <c r="D22">
        <f>C22 - [1]Dati!B22</f>
        <v>0.95242663580330789</v>
      </c>
      <c r="E22">
        <f>D22 * [1]Dati!A22</f>
        <v>72.384424321051398</v>
      </c>
      <c r="F22">
        <f xml:space="preserve"> - ([1]Dati!B22 * LOG(C22) + (1 - [1]Dati!B22) * LOG(1 - C22))</f>
        <v>1.3226361359377115</v>
      </c>
    </row>
    <row r="23" spans="1:6" ht="15">
      <c r="A23" s="16">
        <v>34</v>
      </c>
      <c r="B23" s="19">
        <v>0</v>
      </c>
      <c r="C23">
        <f>1 / (1 + EXP(-([1]Iterazioni!$B$5 + [1]Iterazioni!$C$5 * [1]Dati!A23)))</f>
        <v>0.79252816629578493</v>
      </c>
      <c r="D23">
        <f>C23 - [1]Dati!B23</f>
        <v>0.79252816629578493</v>
      </c>
      <c r="E23">
        <f>D23 * [1]Dati!A23</f>
        <v>26.945957654056688</v>
      </c>
      <c r="F23">
        <f xml:space="preserve"> - ([1]Dati!B23 * LOG(C23) + (1 - [1]Dati!B23) * LOG(1 - C23))</f>
        <v>0.68304085460073161</v>
      </c>
    </row>
    <row r="24" spans="1:6" ht="15">
      <c r="A24" s="16">
        <v>53</v>
      </c>
      <c r="B24" s="19">
        <v>0</v>
      </c>
      <c r="C24">
        <f>1 / (1 + EXP(-([1]Iterazioni!$B$5 + [1]Iterazioni!$C$5 * [1]Dati!A24)))</f>
        <v>0.88988872099503913</v>
      </c>
      <c r="D24">
        <f>C24 - [1]Dati!B24</f>
        <v>0.88988872099503913</v>
      </c>
      <c r="E24">
        <f>D24 * [1]Dati!A24</f>
        <v>47.16410221273707</v>
      </c>
      <c r="F24">
        <f xml:space="preserve"> - ([1]Dati!B24 * LOG(C24) + (1 - [1]Dati!B24) * LOG(1 - C24))</f>
        <v>0.95816819275641874</v>
      </c>
    </row>
    <row r="25" spans="1:6" ht="15">
      <c r="A25" s="16">
        <v>39</v>
      </c>
      <c r="B25" s="19">
        <v>0</v>
      </c>
      <c r="C25">
        <f>1 / (1 + EXP(-([1]Iterazioni!$B$5 + [1]Iterazioni!$C$5 * [1]Dati!A25)))</f>
        <v>0.82309164833901449</v>
      </c>
      <c r="D25">
        <f>C25 - [1]Dati!B25</f>
        <v>0.82309164833901449</v>
      </c>
      <c r="E25">
        <f>D25 * [1]Dati!A25</f>
        <v>32.100574285221562</v>
      </c>
      <c r="F25">
        <f xml:space="preserve"> - ([1]Dati!B25 * LOG(C25) + (1 - [1]Dati!B25) * LOG(1 - C25))</f>
        <v>0.75225166401133947</v>
      </c>
    </row>
    <row r="26" spans="1:6" ht="15">
      <c r="A26" s="16">
        <v>41</v>
      </c>
      <c r="B26" s="19">
        <v>0</v>
      </c>
      <c r="C26">
        <f>1 / (1 + EXP(-([1]Iterazioni!$B$5 + [1]Iterazioni!$C$5 * [1]Dati!A26)))</f>
        <v>0.83428658036053649</v>
      </c>
      <c r="D26">
        <f>C26 - [1]Dati!B26</f>
        <v>0.83428658036053649</v>
      </c>
      <c r="E26">
        <f>D26 * [1]Dati!A26</f>
        <v>34.205749794781994</v>
      </c>
      <c r="F26">
        <f xml:space="preserve"> - ([1]Dati!B26 * LOG(C26) + (1 - [1]Dati!B26) * LOG(1 - C26))</f>
        <v>0.78064232055241911</v>
      </c>
    </row>
    <row r="27" spans="1:6" ht="15">
      <c r="A27" s="16">
        <v>64</v>
      </c>
      <c r="B27" s="19">
        <v>0</v>
      </c>
      <c r="C27">
        <f>1 / (1 + EXP(-([1]Iterazioni!$B$5 + [1]Iterazioni!$C$5 * [1]Dati!A27)))</f>
        <v>0.92576963752891406</v>
      </c>
      <c r="D27">
        <f>C27 - [1]Dati!B27</f>
        <v>0.92576963752891406</v>
      </c>
      <c r="E27">
        <f>D27 * [1]Dati!A27</f>
        <v>59.2492568018505</v>
      </c>
      <c r="F27">
        <f xml:space="preserve"> - ([1]Dati!B27 * LOG(C27) + (1 - [1]Dati!B27) * LOG(1 - C27))</f>
        <v>1.1294184187574576</v>
      </c>
    </row>
    <row r="28" spans="1:6" ht="15">
      <c r="A28" s="16">
        <v>66</v>
      </c>
      <c r="B28" s="19">
        <v>0</v>
      </c>
      <c r="C28">
        <f>1 / (1 + EXP(-([1]Iterazioni!$B$5 + [1]Iterazioni!$C$5 * [1]Dati!A28)))</f>
        <v>0.93101160768190794</v>
      </c>
      <c r="D28">
        <f>C28 - [1]Dati!B28</f>
        <v>0.93101160768190794</v>
      </c>
      <c r="E28">
        <f>D28 * [1]Dati!A28</f>
        <v>61.446766107005921</v>
      </c>
      <c r="F28">
        <f xml:space="preserve"> - ([1]Dati!B28 * LOG(C28) + (1 - [1]Dati!B28) * LOG(1 - C28))</f>
        <v>1.1612239755856073</v>
      </c>
    </row>
    <row r="29" spans="1:6" ht="15">
      <c r="A29" s="16">
        <v>79</v>
      </c>
      <c r="B29" s="19">
        <v>1</v>
      </c>
      <c r="C29">
        <f>1 / (1 + EXP(-([1]Iterazioni!$B$5 + [1]Iterazioni!$C$5 * [1]Dati!A29)))</f>
        <v>0.95750978081943805</v>
      </c>
      <c r="D29">
        <f>C29 - [1]Dati!B29</f>
        <v>-4.249021918056195E-2</v>
      </c>
      <c r="E29">
        <f>D29 * [1]Dati!A29</f>
        <v>-3.3567273152643939</v>
      </c>
      <c r="F29">
        <f xml:space="preserve"> - ([1]Dati!B29 * LOG(C29) + (1 - [1]Dati!B29) * LOG(1 - C29))</f>
        <v>1.8856781083396813E-2</v>
      </c>
    </row>
    <row r="30" spans="1:6" ht="15">
      <c r="A30" s="16">
        <v>78</v>
      </c>
      <c r="B30" s="19">
        <v>0</v>
      </c>
      <c r="C30">
        <f>1 / (1 + EXP(-([1]Iterazioni!$B$5 + [1]Iterazioni!$C$5 * [1]Dati!A30)))</f>
        <v>0.95587587435383603</v>
      </c>
      <c r="D30">
        <f>C30 - [1]Dati!B30</f>
        <v>0.95587587435383603</v>
      </c>
      <c r="E30">
        <f>D30 * [1]Dati!A30</f>
        <v>74.558318199599213</v>
      </c>
      <c r="F30">
        <f xml:space="preserve"> - ([1]Dati!B30 * LOG(C30) + (1 - [1]Dati!B30) * LOG(1 - C30))</f>
        <v>1.3553238874014806</v>
      </c>
    </row>
    <row r="31" spans="1:6" ht="15">
      <c r="A31" s="16">
        <v>74</v>
      </c>
      <c r="B31" s="19">
        <v>1</v>
      </c>
      <c r="C31">
        <f>1 / (1 + EXP(-([1]Iterazioni!$B$5 + [1]Iterazioni!$C$5 * [1]Dati!A31)))</f>
        <v>0.94872223024369684</v>
      </c>
      <c r="D31">
        <f>C31 - [1]Dati!B31</f>
        <v>-5.127776975630316E-2</v>
      </c>
      <c r="E31">
        <f>D31 * [1]Dati!A31</f>
        <v>-3.7945549619664338</v>
      </c>
      <c r="F31">
        <f xml:space="preserve"> - ([1]Dati!B31 * LOG(C31) + (1 - [1]Dati!B31) * LOG(1 - C31))</f>
        <v>2.286092301048747E-2</v>
      </c>
    </row>
    <row r="32" spans="1:6" ht="15">
      <c r="A32" s="16">
        <v>75</v>
      </c>
      <c r="B32" s="19">
        <v>0</v>
      </c>
      <c r="C32">
        <f>1 / (1 + EXP(-([1]Iterazioni!$B$5 + [1]Iterazioni!$C$5 * [1]Dati!A32)))</f>
        <v>0.95060734656752233</v>
      </c>
      <c r="D32">
        <f>C32 - [1]Dati!B32</f>
        <v>0.95060734656752233</v>
      </c>
      <c r="E32">
        <f>D32 * [1]Dati!A32</f>
        <v>71.295550992564173</v>
      </c>
      <c r="F32">
        <f xml:space="preserve"> - ([1]Dati!B32 * LOG(C32) + (1 - [1]Dati!B32) * LOG(1 - C32))</f>
        <v>1.3063376423922233</v>
      </c>
    </row>
    <row r="33" spans="1:6" ht="15">
      <c r="A33" s="16">
        <v>83</v>
      </c>
      <c r="B33" s="19">
        <v>1</v>
      </c>
      <c r="C33">
        <f>1 / (1 + EXP(-([1]Iterazioni!$B$5 + [1]Iterazioni!$C$5 * [1]Dati!A33)))</f>
        <v>0.96348467869007881</v>
      </c>
      <c r="D33">
        <f>C33 - [1]Dati!B33</f>
        <v>-3.6515321309921189E-2</v>
      </c>
      <c r="E33">
        <f>D33 * [1]Dati!A33</f>
        <v>-3.0307716687234585</v>
      </c>
      <c r="F33">
        <f xml:space="preserve"> - ([1]Dati!B33 * LOG(C33) + (1 - [1]Dati!B33) * LOG(1 - C33))</f>
        <v>1.6155187093904032E-2</v>
      </c>
    </row>
    <row r="34" spans="1:6" ht="15">
      <c r="A34" s="16">
        <v>72</v>
      </c>
      <c r="B34" s="19">
        <v>0</v>
      </c>
      <c r="C34">
        <f>1 / (1 + EXP(-([1]Iterazioni!$B$5 + [1]Iterazioni!$C$5 * [1]Dati!A34)))</f>
        <v>0.94474610710978602</v>
      </c>
      <c r="D34">
        <f>C34 - [1]Dati!B34</f>
        <v>0.94474610710978602</v>
      </c>
      <c r="E34">
        <f>D34 * [1]Dati!A34</f>
        <v>68.021719711904595</v>
      </c>
      <c r="F34">
        <f xml:space="preserve"> - ([1]Dati!B34 * LOG(C34) + (1 - [1]Dati!B34) * LOG(1 - C34))</f>
        <v>1.2576371185264754</v>
      </c>
    </row>
    <row r="35" spans="1:6" ht="15">
      <c r="A35" s="16">
        <v>51</v>
      </c>
      <c r="B35" s="19">
        <v>0</v>
      </c>
      <c r="C35">
        <f>1 / (1 + EXP(-([1]Iterazioni!$B$5 + [1]Iterazioni!$C$5 * [1]Dati!A35)))</f>
        <v>0.88191840027773227</v>
      </c>
      <c r="D35">
        <f>C35 - [1]Dati!B35</f>
        <v>0.88191840027773227</v>
      </c>
      <c r="E35">
        <f>D35 * [1]Dati!A35</f>
        <v>44.977838414164346</v>
      </c>
      <c r="F35">
        <f xml:space="preserve"> - ([1]Dati!B35 * LOG(C35) + (1 - [1]Dati!B35) * LOG(1 - C35))</f>
        <v>0.92781777183330216</v>
      </c>
    </row>
    <row r="36" spans="1:6" ht="15">
      <c r="A36" s="16">
        <v>32</v>
      </c>
      <c r="B36" s="19">
        <v>0</v>
      </c>
      <c r="C36">
        <f>1 / (1 + EXP(-([1]Iterazioni!$B$5 + [1]Iterazioni!$C$5 * [1]Dati!A36)))</f>
        <v>0.77925861180624534</v>
      </c>
      <c r="D36">
        <f>C36 - [1]Dati!B36</f>
        <v>0.77925861180624534</v>
      </c>
      <c r="E36">
        <f>D36 * [1]Dati!A36</f>
        <v>24.936275577799851</v>
      </c>
      <c r="F36">
        <f xml:space="preserve"> - ([1]Dati!B36 * LOG(C36) + (1 - [1]Dati!B36) * LOG(1 - C36))</f>
        <v>0.65611623059472579</v>
      </c>
    </row>
    <row r="37" spans="1:6" ht="15">
      <c r="A37" s="16">
        <v>34</v>
      </c>
      <c r="B37" s="19">
        <v>0</v>
      </c>
      <c r="C37">
        <f>1 / (1 + EXP(-([1]Iterazioni!$B$5 + [1]Iterazioni!$C$5 * [1]Dati!A37)))</f>
        <v>0.79252816629578493</v>
      </c>
      <c r="D37">
        <f>C37 - [1]Dati!B37</f>
        <v>0.79252816629578493</v>
      </c>
      <c r="E37">
        <f>D37 * [1]Dati!A37</f>
        <v>26.945957654056688</v>
      </c>
      <c r="F37">
        <f xml:space="preserve"> - ([1]Dati!B37 * LOG(C37) + (1 - [1]Dati!B37) * LOG(1 - C37))</f>
        <v>0.68304085460073161</v>
      </c>
    </row>
    <row r="38" spans="1:6" ht="15">
      <c r="A38" s="16">
        <v>68</v>
      </c>
      <c r="B38" s="19">
        <v>0</v>
      </c>
      <c r="C38">
        <f>1 / (1 + EXP(-([1]Iterazioni!$B$5 + [1]Iterazioni!$C$5 * [1]Dati!A38)))</f>
        <v>0.93590902969122924</v>
      </c>
      <c r="D38">
        <f>C38 - [1]Dati!B38</f>
        <v>0.93590902969122924</v>
      </c>
      <c r="E38">
        <f>D38 * [1]Dati!A38</f>
        <v>63.64181401900359</v>
      </c>
      <c r="F38">
        <f xml:space="preserve"> - ([1]Dati!B38 * LOG(C38) + (1 - [1]Dati!B38) * LOG(1 - C38))</f>
        <v>1.1932031533409611</v>
      </c>
    </row>
    <row r="39" spans="1:6" ht="15">
      <c r="A39" s="16">
        <v>51</v>
      </c>
      <c r="B39" s="19">
        <v>0</v>
      </c>
      <c r="C39">
        <f>1 / (1 + EXP(-([1]Iterazioni!$B$5 + [1]Iterazioni!$C$5 * [1]Dati!A39)))</f>
        <v>0.88191840027773227</v>
      </c>
      <c r="D39">
        <f>C39 - [1]Dati!B39</f>
        <v>0.88191840027773227</v>
      </c>
      <c r="E39">
        <f>D39 * [1]Dati!A39</f>
        <v>44.977838414164346</v>
      </c>
      <c r="F39">
        <f xml:space="preserve"> - ([1]Dati!B39 * LOG(C39) + (1 - [1]Dati!B39) * LOG(1 - C39))</f>
        <v>0.92781777183330216</v>
      </c>
    </row>
    <row r="40" spans="1:6" ht="15">
      <c r="A40" s="16">
        <v>76</v>
      </c>
      <c r="B40" s="19">
        <v>1</v>
      </c>
      <c r="C40">
        <f>1 / (1 + EXP(-([1]Iterazioni!$B$5 + [1]Iterazioni!$C$5 * [1]Dati!A40)))</f>
        <v>0.95242663580330789</v>
      </c>
      <c r="D40">
        <f>C40 - [1]Dati!B40</f>
        <v>-4.7573364196692114E-2</v>
      </c>
      <c r="E40">
        <f>D40 * [1]Dati!A40</f>
        <v>-3.6155756789486007</v>
      </c>
      <c r="F40">
        <f xml:space="preserve"> - ([1]Dati!B40 * LOG(C40) + (1 - [1]Dati!B40) * LOG(1 - C40))</f>
        <v>2.1168467508398393E-2</v>
      </c>
    </row>
    <row r="41" spans="1:6" ht="15">
      <c r="A41" s="16">
        <v>72</v>
      </c>
      <c r="B41" s="19">
        <v>1</v>
      </c>
      <c r="C41">
        <f>1 / (1 + EXP(-([1]Iterazioni!$B$5 + [1]Iterazioni!$C$5 * [1]Dati!A41)))</f>
        <v>0.94474610710978602</v>
      </c>
      <c r="D41">
        <f>C41 - [1]Dati!B41</f>
        <v>-5.5253892890213985E-2</v>
      </c>
      <c r="E41">
        <f>D41 * [1]Dati!A41</f>
        <v>-3.9782802880954069</v>
      </c>
      <c r="F41">
        <f xml:space="preserve"> - ([1]Dati!B41 * LOG(C41) + (1 - [1]Dati!B41) * LOG(1 - C41))</f>
        <v>2.4684888947038727E-2</v>
      </c>
    </row>
    <row r="42" spans="1:6" ht="15">
      <c r="A42" s="16">
        <v>46</v>
      </c>
      <c r="B42" s="19">
        <v>0</v>
      </c>
      <c r="C42">
        <f>1 / (1 + EXP(-([1]Iterazioni!$B$5 + [1]Iterazioni!$C$5 * [1]Dati!A42)))</f>
        <v>0.85978680134607988</v>
      </c>
      <c r="D42">
        <f>C42 - [1]Dati!B42</f>
        <v>0.85978680134607988</v>
      </c>
      <c r="E42">
        <f>D42 * [1]Dati!A42</f>
        <v>39.550192861919676</v>
      </c>
      <c r="F42">
        <f xml:space="preserve"> - ([1]Dati!B42 * LOG(C42) + (1 - [1]Dati!B42) * LOG(1 - C42))</f>
        <v>0.8532111031113836</v>
      </c>
    </row>
    <row r="43" spans="1:6" ht="15">
      <c r="A43" s="16">
        <v>75</v>
      </c>
      <c r="B43" s="19">
        <v>0</v>
      </c>
      <c r="C43">
        <f>1 / (1 + EXP(-([1]Iterazioni!$B$5 + [1]Iterazioni!$C$5 * [1]Dati!A43)))</f>
        <v>0.95060734656752233</v>
      </c>
      <c r="D43">
        <f>C43 - [1]Dati!B43</f>
        <v>0.95060734656752233</v>
      </c>
      <c r="E43">
        <f>D43 * [1]Dati!A43</f>
        <v>71.295550992564173</v>
      </c>
      <c r="F43">
        <f xml:space="preserve"> - ([1]Dati!B43 * LOG(C43) + (1 - [1]Dati!B43) * LOG(1 - C43))</f>
        <v>1.3063376423922233</v>
      </c>
    </row>
    <row r="44" spans="1:6" ht="15">
      <c r="A44" s="16">
        <v>60</v>
      </c>
      <c r="B44" s="19">
        <v>0</v>
      </c>
      <c r="C44">
        <f>1 / (1 + EXP(-([1]Iterazioni!$B$5 + [1]Iterazioni!$C$5 * [1]Dati!A44)))</f>
        <v>0.91417326289479239</v>
      </c>
      <c r="D44">
        <f>C44 - [1]Dati!B44</f>
        <v>0.91417326289479239</v>
      </c>
      <c r="E44">
        <f>D44 * [1]Dati!A44</f>
        <v>54.850395773687545</v>
      </c>
      <c r="F44">
        <f xml:space="preserve"> - ([1]Dati!B44 * LOG(C44) + (1 - [1]Dati!B44) * LOG(1 - C44))</f>
        <v>1.066377397834382</v>
      </c>
    </row>
    <row r="45" spans="1:6" ht="15">
      <c r="A45" s="16">
        <v>39</v>
      </c>
      <c r="B45" s="19">
        <v>0</v>
      </c>
      <c r="C45">
        <f>1 / (1 + EXP(-([1]Iterazioni!$B$5 + [1]Iterazioni!$C$5 * [1]Dati!A45)))</f>
        <v>0.82309164833901449</v>
      </c>
      <c r="D45">
        <f>C45 - [1]Dati!B45</f>
        <v>0.82309164833901449</v>
      </c>
      <c r="E45">
        <f>D45 * [1]Dati!A45</f>
        <v>32.100574285221562</v>
      </c>
      <c r="F45">
        <f xml:space="preserve"> - ([1]Dati!B45 * LOG(C45) + (1 - [1]Dati!B45) * LOG(1 - C45))</f>
        <v>0.75225166401133947</v>
      </c>
    </row>
    <row r="46" spans="1:6" ht="15">
      <c r="A46" s="17">
        <v>61</v>
      </c>
      <c r="B46" s="20">
        <v>0</v>
      </c>
      <c r="C46">
        <f>1 / (1 + EXP(-([1]Iterazioni!$B$5 + [1]Iterazioni!$C$5 * [1]Dati!A46)))</f>
        <v>0.91721767104001661</v>
      </c>
      <c r="D46">
        <f>C46 - [1]Dati!B46</f>
        <v>0.91721767104001661</v>
      </c>
      <c r="E46">
        <f>D46 * [1]Dati!A46</f>
        <v>55.950277933441015</v>
      </c>
      <c r="F46">
        <f xml:space="preserve"> - ([1]Dati!B46 * LOG(C46) + (1 - [1]Dati!B46) * LOG(1 - C46))</f>
        <v>1.0820623595220995</v>
      </c>
    </row>
    <row r="47" spans="1:6" ht="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D28F-C657-4346-962C-79674A801B18}">
  <dimension ref="A1:F47"/>
  <sheetViews>
    <sheetView zoomScale="118" workbookViewId="0">
      <selection activeCell="G4" sqref="G4"/>
    </sheetView>
  </sheetViews>
  <sheetFormatPr defaultRowHeight="14.45"/>
  <cols>
    <col min="1" max="2" width="13.28515625" style="1" customWidth="1"/>
    <col min="3" max="6" width="13.28515625" customWidth="1"/>
  </cols>
  <sheetData>
    <row r="1" spans="1:6" ht="15">
      <c r="A1" s="21" t="s">
        <v>6</v>
      </c>
      <c r="B1" s="22" t="s">
        <v>7</v>
      </c>
      <c r="C1" s="24" t="s">
        <v>8</v>
      </c>
      <c r="D1" s="24" t="s">
        <v>9</v>
      </c>
      <c r="E1" s="24" t="s">
        <v>10</v>
      </c>
      <c r="F1" s="24" t="s">
        <v>11</v>
      </c>
    </row>
    <row r="2" spans="1:6" ht="15">
      <c r="A2" s="14">
        <v>35</v>
      </c>
      <c r="B2" s="15">
        <v>0</v>
      </c>
      <c r="C2">
        <f>1 / (1 + EXP(-(Iterazioni!$B$6 + Iterazioni!$C$6 * Dati!A2)))</f>
        <v>1.4955724786256169E-6</v>
      </c>
      <c r="D2">
        <f>C2 - Dati!B2</f>
        <v>1.4955724786256169E-6</v>
      </c>
      <c r="E2">
        <f>D2 * Dati!A2</f>
        <v>5.2345036751896591E-5</v>
      </c>
      <c r="F2">
        <f xml:space="preserve"> - (Dati!B2 * LOG(C2) + (1 - Dati!B2) * LOG(1 - C2))</f>
        <v>6.4951936046064554E-7</v>
      </c>
    </row>
    <row r="3" spans="1:6" ht="15">
      <c r="A3" s="14">
        <v>45</v>
      </c>
      <c r="B3" s="15">
        <v>0</v>
      </c>
      <c r="C3">
        <f>1 / (1 + EXP(-(Iterazioni!$B$6 + Iterazioni!$C$6 * Dati!A3)))</f>
        <v>3.2468351162122258E-8</v>
      </c>
      <c r="D3">
        <f>C3 - Dati!B3</f>
        <v>3.2468351162122258E-8</v>
      </c>
      <c r="E3">
        <f>D3 * Dati!A3</f>
        <v>1.4610758022955016E-6</v>
      </c>
      <c r="F3">
        <f xml:space="preserve"> - (Dati!B3 * LOG(C3) + (1 - Dati!B3) * LOG(1 - C3))</f>
        <v>1.4100825956311052E-8</v>
      </c>
    </row>
    <row r="4" spans="1:6" ht="15">
      <c r="A4" s="14">
        <v>55</v>
      </c>
      <c r="B4" s="15">
        <v>0</v>
      </c>
      <c r="C4">
        <f>1 / (1 + EXP(-(Iterazioni!$B$6 + Iterazioni!$C$6 * Dati!A4)))</f>
        <v>7.0487544625391412E-10</v>
      </c>
      <c r="D4">
        <f>C4 - Dati!B4</f>
        <v>7.0487544625391412E-10</v>
      </c>
      <c r="E4">
        <f>D4 * Dati!A4</f>
        <v>3.8768149543965278E-8</v>
      </c>
      <c r="F4">
        <f xml:space="preserve"> - (Dati!B4 * LOG(C4) + (1 - Dati!B4) * LOG(1 - C4))</f>
        <v>3.0612353641205743E-10</v>
      </c>
    </row>
    <row r="5" spans="1:6" ht="15">
      <c r="A5" s="14">
        <v>25</v>
      </c>
      <c r="B5" s="15">
        <v>0</v>
      </c>
      <c r="C5">
        <f>1 / (1 + EXP(-(Iterazioni!$B$6 + Iterazioni!$C$6 * Dati!A5)))</f>
        <v>6.8885222007965019E-5</v>
      </c>
      <c r="D5">
        <f>C5 - Dati!B5</f>
        <v>6.8885222007965019E-5</v>
      </c>
      <c r="E5">
        <f>D5 * Dati!A5</f>
        <v>1.7221305501991255E-3</v>
      </c>
      <c r="F5">
        <f xml:space="preserve"> - (Dati!B5 * LOG(C5) + (1 - Dati!B5) * LOG(1 - C5))</f>
        <v>2.9917502251471775E-5</v>
      </c>
    </row>
    <row r="6" spans="1:6" ht="15">
      <c r="A6" s="14">
        <v>65</v>
      </c>
      <c r="B6" s="15">
        <v>1</v>
      </c>
      <c r="C6">
        <f>1 / (1 + EXP(-(Iterazioni!$B$6 + Iterazioni!$C$6 * Dati!A6)))</f>
        <v>1.530257501564273E-11</v>
      </c>
      <c r="D6">
        <f>C6 - Dati!B6</f>
        <v>-0.99999999998469746</v>
      </c>
      <c r="E6">
        <f>D6 * Dati!A6</f>
        <v>-64.99999999900534</v>
      </c>
      <c r="F6">
        <f xml:space="preserve"> - (Dati!B6 * LOG(C6) + (1 - Dati!B6) * LOG(1 - C6))</f>
        <v>10.815235482843326</v>
      </c>
    </row>
    <row r="7" spans="1:6" ht="15">
      <c r="A7" s="16">
        <v>80</v>
      </c>
      <c r="B7" s="15">
        <v>0</v>
      </c>
      <c r="C7">
        <f>1 / (1 + EXP(-(Iterazioni!$B$6 + Iterazioni!$C$6 * Dati!A7)))</f>
        <v>4.894887543239303E-14</v>
      </c>
      <c r="D7">
        <f>C7 - Dati!B7</f>
        <v>4.894887543239303E-14</v>
      </c>
      <c r="E7">
        <f>D7 * Dati!A7</f>
        <v>3.9159100345914424E-12</v>
      </c>
      <c r="F7">
        <f xml:space="preserve"> - (Dati!B7 * LOG(C7) + (1 - Dati!B7) * LOG(1 - C7))</f>
        <v>2.1263420637500502E-14</v>
      </c>
    </row>
    <row r="8" spans="1:6" ht="15">
      <c r="A8" s="16">
        <v>48</v>
      </c>
      <c r="B8" s="15">
        <v>0</v>
      </c>
      <c r="C8">
        <f>1 / (1 + EXP(-(Iterazioni!$B$6 + Iterazioni!$C$6 * Dati!A8)))</f>
        <v>1.0290959863135478E-8</v>
      </c>
      <c r="D8">
        <f>C8 - Dati!B8</f>
        <v>1.0290959863135478E-8</v>
      </c>
      <c r="E8">
        <f>D8 * Dati!A8</f>
        <v>4.9396607343050292E-7</v>
      </c>
      <c r="F8">
        <f xml:space="preserve"> - (Dati!B8 * LOG(C8) + (1 - Dati!B8) * LOG(1 - C8))</f>
        <v>4.46930710457163E-9</v>
      </c>
    </row>
    <row r="9" spans="1:6" ht="15">
      <c r="A9" s="16">
        <v>82</v>
      </c>
      <c r="B9" s="15">
        <v>0</v>
      </c>
      <c r="C9">
        <f>1 / (1 + EXP(-(Iterazioni!$B$6 + Iterazioni!$C$6 * Dati!A9)))</f>
        <v>2.2754806434097348E-14</v>
      </c>
      <c r="D9">
        <f>C9 - Dati!B9</f>
        <v>2.2754806434097348E-14</v>
      </c>
      <c r="E9">
        <f>D9 * Dati!A9</f>
        <v>1.8658941275959826E-12</v>
      </c>
      <c r="F9">
        <f xml:space="preserve"> - (Dati!B9 * LOG(C9) + (1 - Dati!B9) * LOG(1 - C9))</f>
        <v>9.8843565321713059E-15</v>
      </c>
    </row>
    <row r="10" spans="1:6" ht="15">
      <c r="A10" s="16">
        <v>81</v>
      </c>
      <c r="B10" s="15">
        <v>0</v>
      </c>
      <c r="C10">
        <f>1 / (1 + EXP(-(Iterazioni!$B$6 + Iterazioni!$C$6 * Dati!A10)))</f>
        <v>3.337397467534924E-14</v>
      </c>
      <c r="D10">
        <f>C10 - Dati!B10</f>
        <v>3.337397467534924E-14</v>
      </c>
      <c r="E10">
        <f>D10 * Dati!A10</f>
        <v>2.7032919487032884E-12</v>
      </c>
      <c r="F10">
        <f xml:space="preserve"> - (Dati!B10 * LOG(C10) + (1 - Dati!B10) * LOG(1 - C10))</f>
        <v>1.4513128371627214E-14</v>
      </c>
    </row>
    <row r="11" spans="1:6" ht="15">
      <c r="A11" s="16">
        <v>73</v>
      </c>
      <c r="B11" s="15">
        <v>0</v>
      </c>
      <c r="C11">
        <f>1 / (1 + EXP(-(Iterazioni!$B$6 + Iterazioni!$C$6 * Dati!A11)))</f>
        <v>7.1463819590530889E-13</v>
      </c>
      <c r="D11">
        <f>C11 - Dati!B11</f>
        <v>7.1463819590530889E-13</v>
      </c>
      <c r="E11">
        <f>D11 * Dati!A11</f>
        <v>5.216858830108755E-11</v>
      </c>
      <c r="F11">
        <f xml:space="preserve"> - (Dati!B11 * LOG(C11) + (1 - Dati!B11) * LOG(1 - C11))</f>
        <v>3.1036879511028638E-13</v>
      </c>
    </row>
    <row r="12" spans="1:6" ht="15">
      <c r="A12" s="16">
        <v>84</v>
      </c>
      <c r="B12" s="15">
        <v>1</v>
      </c>
      <c r="C12">
        <f>1 / (1 + EXP(-(Iterazioni!$B$6 + Iterazioni!$C$6 * Dati!A12)))</f>
        <v>1.0578000235539131E-14</v>
      </c>
      <c r="D12">
        <f>C12 - Dati!B12</f>
        <v>-0.99999999999998945</v>
      </c>
      <c r="E12">
        <f>D12 * Dati!A12</f>
        <v>-83.999999999999119</v>
      </c>
      <c r="F12">
        <f xml:space="preserve"> - (Dati!B12 * LOG(C12) + (1 - Dati!B12) * LOG(1 - C12))</f>
        <v>13.975596427646648</v>
      </c>
    </row>
    <row r="13" spans="1:6" ht="15">
      <c r="A13" s="16">
        <v>62</v>
      </c>
      <c r="B13" s="15">
        <v>1</v>
      </c>
      <c r="C13">
        <f>1 / (1 + EXP(-(Iterazioni!$B$6 + Iterazioni!$C$6 * Dati!A13)))</f>
        <v>4.8280179585081184E-11</v>
      </c>
      <c r="D13">
        <f>C13 - Dati!B13</f>
        <v>-0.99999999995171984</v>
      </c>
      <c r="E13">
        <f>D13 * Dati!A13</f>
        <v>-61.999999997006633</v>
      </c>
      <c r="F13">
        <f xml:space="preserve"> - (Dati!B13 * LOG(C13) + (1 - Dati!B13) * LOG(1 - C13))</f>
        <v>10.316231123150812</v>
      </c>
    </row>
    <row r="14" spans="1:6" ht="15">
      <c r="A14" s="16">
        <v>53</v>
      </c>
      <c r="B14" s="15">
        <v>0</v>
      </c>
      <c r="C14">
        <f>1 / (1 + EXP(-(Iterazioni!$B$6 + Iterazioni!$C$6 * Dati!A14)))</f>
        <v>1.5162888986099569E-9</v>
      </c>
      <c r="D14">
        <f>C14 - Dati!B14</f>
        <v>1.5162888986099569E-9</v>
      </c>
      <c r="E14">
        <f>D14 * Dati!A14</f>
        <v>8.0363311626327719E-8</v>
      </c>
      <c r="F14">
        <f xml:space="preserve"> - (Dati!B14 * LOG(C14) + (1 - Dati!B14) * LOG(1 - C14))</f>
        <v>6.5851589068379931E-10</v>
      </c>
    </row>
    <row r="15" spans="1:6" ht="15">
      <c r="A15" s="16">
        <v>76</v>
      </c>
      <c r="B15" s="15">
        <v>0</v>
      </c>
      <c r="C15">
        <f>1 / (1 + EXP(-(Iterazioni!$B$6 + Iterazioni!$C$6 * Dati!A15)))</f>
        <v>2.265071235341563E-13</v>
      </c>
      <c r="D15">
        <f>C15 - Dati!B15</f>
        <v>2.265071235341563E-13</v>
      </c>
      <c r="E15">
        <f>D15 * Dati!A15</f>
        <v>1.721454138859588E-11</v>
      </c>
      <c r="F15">
        <f xml:space="preserve"> - (Dati!B15 * LOG(C15) + (1 - Dati!B15) * LOG(1 - C15))</f>
        <v>9.8361401588446429E-14</v>
      </c>
    </row>
    <row r="16" spans="1:6" ht="15">
      <c r="A16" s="16">
        <v>51</v>
      </c>
      <c r="B16" s="15">
        <v>0</v>
      </c>
      <c r="C16">
        <f>1 / (1 + EXP(-(Iterazioni!$B$6 + Iterazioni!$C$6 * Dati!A16)))</f>
        <v>3.2617564338765018E-9</v>
      </c>
      <c r="D16">
        <f>C16 - Dati!B16</f>
        <v>3.2617564338765018E-9</v>
      </c>
      <c r="E16">
        <f>D16 * Dati!A16</f>
        <v>1.6634957812770161E-7</v>
      </c>
      <c r="F16">
        <f xml:space="preserve"> - (Dati!B16 * LOG(C16) + (1 - Dati!B16) * LOG(1 - C16))</f>
        <v>1.4165628170519575E-9</v>
      </c>
    </row>
    <row r="17" spans="1:6" ht="15">
      <c r="A17" s="16">
        <v>80</v>
      </c>
      <c r="B17" s="15">
        <v>0</v>
      </c>
      <c r="C17">
        <f>1 / (1 + EXP(-(Iterazioni!$B$6 + Iterazioni!$C$6 * Dati!A17)))</f>
        <v>4.894887543239303E-14</v>
      </c>
      <c r="D17">
        <f>C17 - Dati!B17</f>
        <v>4.894887543239303E-14</v>
      </c>
      <c r="E17">
        <f>D17 * Dati!A17</f>
        <v>3.9159100345914424E-12</v>
      </c>
      <c r="F17">
        <f xml:space="preserve"> - (Dati!B17 * LOG(C17) + (1 - Dati!B17) * LOG(1 - C17))</f>
        <v>2.1263420637500502E-14</v>
      </c>
    </row>
    <row r="18" spans="1:6" ht="15">
      <c r="A18" s="16">
        <v>56</v>
      </c>
      <c r="B18" s="15">
        <v>0</v>
      </c>
      <c r="C18">
        <f>1 / (1 + EXP(-(Iterazioni!$B$6 + Iterazioni!$C$6 * Dati!A18)))</f>
        <v>4.8059317175367661E-10</v>
      </c>
      <c r="D18">
        <f>C18 - Dati!B18</f>
        <v>4.8059317175367661E-10</v>
      </c>
      <c r="E18">
        <f>D18 * Dati!A18</f>
        <v>2.6913217618205889E-8</v>
      </c>
      <c r="F18">
        <f xml:space="preserve"> - (Dati!B18 * LOG(C18) + (1 - Dati!B18) * LOG(1 - C18))</f>
        <v>2.0871894047820124E-10</v>
      </c>
    </row>
    <row r="19" spans="1:6" ht="15">
      <c r="A19" s="16">
        <v>49</v>
      </c>
      <c r="B19" s="15">
        <v>0</v>
      </c>
      <c r="C19">
        <f>1 / (1 + EXP(-(Iterazioni!$B$6 + Iterazioni!$C$6 * Dati!A19)))</f>
        <v>7.0165092036953797E-9</v>
      </c>
      <c r="D19">
        <f>C19 - Dati!B19</f>
        <v>7.0165092036953797E-9</v>
      </c>
      <c r="E19">
        <f>D19 * Dati!A19</f>
        <v>3.4380895098107359E-7</v>
      </c>
      <c r="F19">
        <f xml:space="preserve"> - (Dati!B19 * LOG(C19) + (1 - Dati!B19) * LOG(1 - C19))</f>
        <v>3.0472312173973619E-9</v>
      </c>
    </row>
    <row r="20" spans="1:6" ht="15">
      <c r="A20" s="16">
        <v>53</v>
      </c>
      <c r="B20" s="15">
        <v>0</v>
      </c>
      <c r="C20">
        <f>1 / (1 + EXP(-(Iterazioni!$B$6 + Iterazioni!$C$6 * Dati!A20)))</f>
        <v>1.5162888986099569E-9</v>
      </c>
      <c r="D20">
        <f>C20 - Dati!B20</f>
        <v>1.5162888986099569E-9</v>
      </c>
      <c r="E20">
        <f>D20 * Dati!A20</f>
        <v>8.0363311626327719E-8</v>
      </c>
      <c r="F20">
        <f xml:space="preserve"> - (Dati!B20 * LOG(C20) + (1 - Dati!B20) * LOG(1 - C20))</f>
        <v>6.5851589068379931E-10</v>
      </c>
    </row>
    <row r="21" spans="1:6" ht="15">
      <c r="A21" s="16">
        <v>63</v>
      </c>
      <c r="B21" s="15">
        <v>0</v>
      </c>
      <c r="C21">
        <f>1 / (1 + EXP(-(Iterazioni!$B$6 + Iterazioni!$C$6 * Dati!A21)))</f>
        <v>3.2918049221458215E-11</v>
      </c>
      <c r="D21">
        <f>C21 - Dati!B21</f>
        <v>3.2918049221458215E-11</v>
      </c>
      <c r="E21">
        <f>D21 * Dati!A21</f>
        <v>2.0738371009518676E-9</v>
      </c>
      <c r="F21">
        <f xml:space="preserve"> - (Dati!B21 * LOG(C21) + (1 - Dati!B21) * LOG(1 - C21))</f>
        <v>1.4296106475514454E-11</v>
      </c>
    </row>
    <row r="22" spans="1:6" ht="15">
      <c r="A22" s="16">
        <v>76</v>
      </c>
      <c r="B22" s="15">
        <v>0</v>
      </c>
      <c r="C22">
        <f>1 / (1 + EXP(-(Iterazioni!$B$6 + Iterazioni!$C$6 * Dati!A22)))</f>
        <v>2.265071235341563E-13</v>
      </c>
      <c r="D22">
        <f>C22 - Dati!B22</f>
        <v>2.265071235341563E-13</v>
      </c>
      <c r="E22">
        <f>D22 * Dati!A22</f>
        <v>1.721454138859588E-11</v>
      </c>
      <c r="F22">
        <f xml:space="preserve"> - (Dati!B22 * LOG(C22) + (1 - Dati!B22) * LOG(1 - C22))</f>
        <v>9.8361401588446429E-14</v>
      </c>
    </row>
    <row r="23" spans="1:6" ht="15">
      <c r="A23" s="16">
        <v>34</v>
      </c>
      <c r="B23" s="15">
        <v>0</v>
      </c>
      <c r="C23">
        <f>1 / (1 + EXP(-(Iterazioni!$B$6 + Iterazioni!$C$6 * Dati!A23)))</f>
        <v>2.1935217658048227E-6</v>
      </c>
      <c r="D23">
        <f>C23 - Dati!B23</f>
        <v>2.1935217658048227E-6</v>
      </c>
      <c r="E23">
        <f>D23 * Dati!A23</f>
        <v>7.4579740037363968E-5</v>
      </c>
      <c r="F23">
        <f xml:space="preserve"> - (Dati!B23 * LOG(C23) + (1 - Dati!B23) * LOG(1 - C23))</f>
        <v>9.5263544362700071E-7</v>
      </c>
    </row>
    <row r="24" spans="1:6" ht="15">
      <c r="A24" s="16">
        <v>53</v>
      </c>
      <c r="B24" s="15">
        <v>0</v>
      </c>
      <c r="C24">
        <f>1 / (1 + EXP(-(Iterazioni!$B$6 + Iterazioni!$C$6 * Dati!A24)))</f>
        <v>1.5162888986099569E-9</v>
      </c>
      <c r="D24">
        <f>C24 - Dati!B24</f>
        <v>1.5162888986099569E-9</v>
      </c>
      <c r="E24">
        <f>D24 * Dati!A24</f>
        <v>8.0363311626327719E-8</v>
      </c>
      <c r="F24">
        <f xml:space="preserve"> - (Dati!B24 * LOG(C24) + (1 - Dati!B24) * LOG(1 - C24))</f>
        <v>6.5851589068379931E-10</v>
      </c>
    </row>
    <row r="25" spans="1:6" ht="15">
      <c r="A25" s="16">
        <v>39</v>
      </c>
      <c r="B25" s="15">
        <v>0</v>
      </c>
      <c r="C25">
        <f>1 / (1 + EXP(-(Iterazioni!$B$6 + Iterazioni!$C$6 * Dati!A25)))</f>
        <v>3.2319812127659961E-7</v>
      </c>
      <c r="D25">
        <f>C25 - Dati!B25</f>
        <v>3.2319812127659961E-7</v>
      </c>
      <c r="E25">
        <f>D25 * Dati!A25</f>
        <v>1.2604726729787385E-5</v>
      </c>
      <c r="F25">
        <f xml:space="preserve"> - (Dati!B25 * LOG(C25) + (1 - Dati!B25) * LOG(1 - C25))</f>
        <v>1.4036318330984285E-7</v>
      </c>
    </row>
    <row r="26" spans="1:6" ht="15">
      <c r="A26" s="16">
        <v>41</v>
      </c>
      <c r="B26" s="15">
        <v>0</v>
      </c>
      <c r="C26">
        <f>1 / (1 + EXP(-(Iterazioni!$B$6 + Iterazioni!$C$6 * Dati!A26)))</f>
        <v>1.5024475836270277E-7</v>
      </c>
      <c r="D26">
        <f>C26 - Dati!B26</f>
        <v>1.5024475836270277E-7</v>
      </c>
      <c r="E26">
        <f>D26 * Dati!A26</f>
        <v>6.1600350928708135E-6</v>
      </c>
      <c r="F26">
        <f xml:space="preserve"> - (Dati!B26 * LOG(C26) + (1 - Dati!B26) * LOG(1 - C26))</f>
        <v>6.5250474415119642E-8</v>
      </c>
    </row>
    <row r="27" spans="1:6" ht="15">
      <c r="A27" s="16">
        <v>64</v>
      </c>
      <c r="B27" s="15">
        <v>0</v>
      </c>
      <c r="C27">
        <f>1 / (1 + EXP(-(Iterazioni!$B$6 + Iterazioni!$C$6 * Dati!A27)))</f>
        <v>2.2443950578756469E-11</v>
      </c>
      <c r="D27">
        <f>C27 - Dati!B27</f>
        <v>2.2443950578756469E-11</v>
      </c>
      <c r="E27">
        <f>D27 * Dati!A27</f>
        <v>1.436412837040414E-9</v>
      </c>
      <c r="F27">
        <f xml:space="preserve"> - (Dati!B27 * LOG(C27) + (1 - Dati!B27) * LOG(1 - C27))</f>
        <v>9.7472773829100274E-12</v>
      </c>
    </row>
    <row r="28" spans="1:6" ht="15">
      <c r="A28" s="16">
        <v>66</v>
      </c>
      <c r="B28" s="15">
        <v>0</v>
      </c>
      <c r="C28">
        <f>1 / (1 + EXP(-(Iterazioni!$B$6 + Iterazioni!$C$6 * Dati!A28)))</f>
        <v>1.0433493038007542E-11</v>
      </c>
      <c r="D28">
        <f>C28 - Dati!B28</f>
        <v>1.0433493038007542E-11</v>
      </c>
      <c r="E28">
        <f>D28 * Dati!A28</f>
        <v>6.8861054050849779E-10</v>
      </c>
      <c r="F28">
        <f xml:space="preserve"> - (Dati!B28 * LOG(C28) + (1 - Dati!B28) * LOG(1 - C28))</f>
        <v>4.5312301162375517E-12</v>
      </c>
    </row>
    <row r="29" spans="1:6" ht="15">
      <c r="A29" s="16">
        <v>79</v>
      </c>
      <c r="B29" s="15">
        <v>1</v>
      </c>
      <c r="C29">
        <f>1 / (1 + EXP(-(Iterazioni!$B$6 + Iterazioni!$C$6 * Dati!A29)))</f>
        <v>7.179224019324394E-14</v>
      </c>
      <c r="D29">
        <f>C29 - Dati!B29</f>
        <v>-0.99999999999992817</v>
      </c>
      <c r="E29">
        <f>D29 * Dati!A29</f>
        <v>-78.99999999999433</v>
      </c>
      <c r="F29">
        <f xml:space="preserve"> - (Dati!B29 * LOG(C29) + (1 - Dati!B29) * LOG(1 - C29))</f>
        <v>13.143922494801949</v>
      </c>
    </row>
    <row r="30" spans="1:6" ht="15">
      <c r="A30" s="16">
        <v>78</v>
      </c>
      <c r="B30" s="15">
        <v>0</v>
      </c>
      <c r="C30">
        <f>1 / (1 + EXP(-(Iterazioni!$B$6 + Iterazioni!$C$6 * Dati!A30)))</f>
        <v>1.0529610142082069E-13</v>
      </c>
      <c r="D30">
        <f>C30 - Dati!B30</f>
        <v>1.0529610142082069E-13</v>
      </c>
      <c r="E30">
        <f>D30 * Dati!A30</f>
        <v>8.213095910824014E-12</v>
      </c>
      <c r="F30">
        <f xml:space="preserve"> - (Dati!B30 * LOG(C30) + (1 - Dati!B30) * LOG(1 - C30))</f>
        <v>4.5709121914628213E-14</v>
      </c>
    </row>
    <row r="31" spans="1:6" ht="15">
      <c r="A31" s="16">
        <v>74</v>
      </c>
      <c r="B31" s="15">
        <v>1</v>
      </c>
      <c r="C31">
        <f>1 / (1 + EXP(-(Iterazioni!$B$6 + Iterazioni!$C$6 * Dati!A31)))</f>
        <v>4.8724954029081964E-13</v>
      </c>
      <c r="D31">
        <f>C31 - Dati!B31</f>
        <v>-0.99999999999951272</v>
      </c>
      <c r="E31">
        <f>D31 * Dati!A31</f>
        <v>-73.999999999963947</v>
      </c>
      <c r="F31">
        <f xml:space="preserve"> - (Dati!B31 * LOG(C31) + (1 - Dati!B31) * LOG(1 - C31))</f>
        <v>12.3122485619574</v>
      </c>
    </row>
    <row r="32" spans="1:6" ht="15">
      <c r="A32" s="16">
        <v>75</v>
      </c>
      <c r="B32" s="15">
        <v>0</v>
      </c>
      <c r="C32">
        <f>1 / (1 + EXP(-(Iterazioni!$B$6 + Iterazioni!$C$6 * Dati!A32)))</f>
        <v>3.3221302174150038E-13</v>
      </c>
      <c r="D32">
        <f>C32 - Dati!B32</f>
        <v>3.3221302174150038E-13</v>
      </c>
      <c r="E32">
        <f>D32 * Dati!A32</f>
        <v>2.491597663061253E-11</v>
      </c>
      <c r="F32">
        <f xml:space="preserve"> - (Dati!B32 * LOG(C32) + (1 - Dati!B32) * LOG(1 - C32))</f>
        <v>1.4426338899639572E-13</v>
      </c>
    </row>
    <row r="33" spans="1:6" ht="15">
      <c r="A33" s="16">
        <v>83</v>
      </c>
      <c r="B33" s="15">
        <v>1</v>
      </c>
      <c r="C33">
        <f>1 / (1 + EXP(-(Iterazioni!$B$6 + Iterazioni!$C$6 * Dati!A33)))</f>
        <v>1.5514520547523498E-14</v>
      </c>
      <c r="D33">
        <f>C33 - Dati!B33</f>
        <v>-0.99999999999998446</v>
      </c>
      <c r="E33">
        <f>D33 * Dati!A33</f>
        <v>-82.999999999998707</v>
      </c>
      <c r="F33">
        <f xml:space="preserve"> - (Dati!B33 * LOG(C33) + (1 - Dati!B33) * LOG(1 - C33))</f>
        <v>13.809261641077706</v>
      </c>
    </row>
    <row r="34" spans="1:6" ht="15">
      <c r="A34" s="16">
        <v>72</v>
      </c>
      <c r="B34" s="15">
        <v>0</v>
      </c>
      <c r="C34">
        <f>1 / (1 + EXP(-(Iterazioni!$B$6 + Iterazioni!$C$6 * Dati!A34)))</f>
        <v>1.0481441413816821E-12</v>
      </c>
      <c r="D34">
        <f>C34 - Dati!B34</f>
        <v>1.0481441413816821E-12</v>
      </c>
      <c r="E34">
        <f>D34 * Dati!A34</f>
        <v>7.5466378179481108E-11</v>
      </c>
      <c r="F34">
        <f xml:space="preserve"> - (Dati!B34 * LOG(C34) + (1 - Dati!B34) * LOG(1 - C34))</f>
        <v>4.5521078058671776E-13</v>
      </c>
    </row>
    <row r="35" spans="1:6" ht="15">
      <c r="A35" s="16">
        <v>51</v>
      </c>
      <c r="B35" s="15">
        <v>0</v>
      </c>
      <c r="C35">
        <f>1 / (1 + EXP(-(Iterazioni!$B$6 + Iterazioni!$C$6 * Dati!A35)))</f>
        <v>3.2617564338765018E-9</v>
      </c>
      <c r="D35">
        <f>C35 - Dati!B35</f>
        <v>3.2617564338765018E-9</v>
      </c>
      <c r="E35">
        <f>D35 * Dati!A35</f>
        <v>1.6634957812770161E-7</v>
      </c>
      <c r="F35">
        <f xml:space="preserve"> - (Dati!B35 * LOG(C35) + (1 - Dati!B35) * LOG(1 - C35))</f>
        <v>1.4165628170519575E-9</v>
      </c>
    </row>
    <row r="36" spans="1:6" ht="15">
      <c r="A36" s="16">
        <v>32</v>
      </c>
      <c r="B36" s="15">
        <v>0</v>
      </c>
      <c r="C36">
        <f>1 / (1 + EXP(-(Iterazioni!$B$6 + Iterazioni!$C$6 * Dati!A36)))</f>
        <v>4.7185702443777183E-6</v>
      </c>
      <c r="D36">
        <f>C36 - Dati!B36</f>
        <v>4.7185702443777183E-6</v>
      </c>
      <c r="E36">
        <f>D36 * Dati!A36</f>
        <v>1.5099424782008699E-4</v>
      </c>
      <c r="F36">
        <f xml:space="preserve"> - (Dati!B36 * LOG(C36) + (1 - Dati!B36) * LOG(1 - C36))</f>
        <v>2.0492538544032441E-6</v>
      </c>
    </row>
    <row r="37" spans="1:6" ht="15">
      <c r="A37" s="16">
        <v>34</v>
      </c>
      <c r="B37" s="15">
        <v>0</v>
      </c>
      <c r="C37">
        <f>1 / (1 + EXP(-(Iterazioni!$B$6 + Iterazioni!$C$6 * Dati!A37)))</f>
        <v>2.1935217658048227E-6</v>
      </c>
      <c r="D37">
        <f>C37 - Dati!B37</f>
        <v>2.1935217658048227E-6</v>
      </c>
      <c r="E37">
        <f>D37 * Dati!A37</f>
        <v>7.4579740037363968E-5</v>
      </c>
      <c r="F37">
        <f xml:space="preserve"> - (Dati!B37 * LOG(C37) + (1 - Dati!B37) * LOG(1 - C37))</f>
        <v>9.5263544362700071E-7</v>
      </c>
    </row>
    <row r="38" spans="1:6" ht="15">
      <c r="A38" s="16">
        <v>68</v>
      </c>
      <c r="B38" s="15">
        <v>0</v>
      </c>
      <c r="C38">
        <f>1 / (1 + EXP(-(Iterazioni!$B$6 + Iterazioni!$C$6 * Dati!A38)))</f>
        <v>4.8502056975872738E-12</v>
      </c>
      <c r="D38">
        <f>C38 - Dati!B38</f>
        <v>4.8502056975872738E-12</v>
      </c>
      <c r="E38">
        <f>D38 * Dati!A38</f>
        <v>3.298139874359346E-10</v>
      </c>
      <c r="F38">
        <f xml:space="preserve"> - (Dati!B38 * LOG(C38) + (1 - Dati!B38) * LOG(1 - C38))</f>
        <v>2.1064287015707808E-12</v>
      </c>
    </row>
    <row r="39" spans="1:6" ht="15">
      <c r="A39" s="16">
        <v>51</v>
      </c>
      <c r="B39" s="15">
        <v>0</v>
      </c>
      <c r="C39">
        <f>1 / (1 + EXP(-(Iterazioni!$B$6 + Iterazioni!$C$6 * Dati!A39)))</f>
        <v>3.2617564338765018E-9</v>
      </c>
      <c r="D39">
        <f>C39 - Dati!B39</f>
        <v>3.2617564338765018E-9</v>
      </c>
      <c r="E39">
        <f>D39 * Dati!A39</f>
        <v>1.6634957812770161E-7</v>
      </c>
      <c r="F39">
        <f xml:space="preserve"> - (Dati!B39 * LOG(C39) + (1 - Dati!B39) * LOG(1 - C39))</f>
        <v>1.4165628170519575E-9</v>
      </c>
    </row>
    <row r="40" spans="1:6" ht="15">
      <c r="A40" s="16">
        <v>76</v>
      </c>
      <c r="B40" s="15">
        <v>1</v>
      </c>
      <c r="C40">
        <f>1 / (1 + EXP(-(Iterazioni!$B$6 + Iterazioni!$C$6 * Dati!A40)))</f>
        <v>2.265071235341563E-13</v>
      </c>
      <c r="D40">
        <f>C40 - Dati!B40</f>
        <v>-0.99999999999977351</v>
      </c>
      <c r="E40">
        <f>D40 * Dati!A40</f>
        <v>-75.999999999982791</v>
      </c>
      <c r="F40">
        <f xml:space="preserve"> - (Dati!B40 * LOG(C40) + (1 - Dati!B40) * LOG(1 - C40))</f>
        <v>12.644918135095178</v>
      </c>
    </row>
    <row r="41" spans="1:6" ht="15">
      <c r="A41" s="16">
        <v>72</v>
      </c>
      <c r="B41" s="15">
        <v>1</v>
      </c>
      <c r="C41">
        <f>1 / (1 + EXP(-(Iterazioni!$B$6 + Iterazioni!$C$6 * Dati!A41)))</f>
        <v>1.0481441413816821E-12</v>
      </c>
      <c r="D41">
        <f>C41 - Dati!B41</f>
        <v>-0.99999999999895184</v>
      </c>
      <c r="E41">
        <f>D41 * Dati!A41</f>
        <v>-71.999999999924526</v>
      </c>
      <c r="F41">
        <f xml:space="preserve"> - (Dati!B41 * LOG(C41) + (1 - Dati!B41) * LOG(1 - C41))</f>
        <v>11.979578988819753</v>
      </c>
    </row>
    <row r="42" spans="1:6" ht="15">
      <c r="A42" s="16">
        <v>46</v>
      </c>
      <c r="B42" s="15">
        <v>0</v>
      </c>
      <c r="C42">
        <f>1 / (1 + EXP(-(Iterazioni!$B$6 + Iterazioni!$C$6 * Dati!A42)))</f>
        <v>2.2137340869583278E-8</v>
      </c>
      <c r="D42">
        <f>C42 - Dati!B42</f>
        <v>2.2137340869583278E-8</v>
      </c>
      <c r="E42">
        <f>D42 * Dati!A42</f>
        <v>1.0183176800008308E-6</v>
      </c>
      <c r="F42">
        <f xml:space="preserve"> - (Dati!B42 * LOG(C42) + (1 - Dati!B42) * LOG(1 - C42))</f>
        <v>9.61412508128948E-9</v>
      </c>
    </row>
    <row r="43" spans="1:6" ht="15">
      <c r="A43" s="16">
        <v>75</v>
      </c>
      <c r="B43" s="15">
        <v>0</v>
      </c>
      <c r="C43">
        <f>1 / (1 + EXP(-(Iterazioni!$B$6 + Iterazioni!$C$6 * Dati!A43)))</f>
        <v>3.3221302174150038E-13</v>
      </c>
      <c r="D43">
        <f>C43 - Dati!B43</f>
        <v>3.3221302174150038E-13</v>
      </c>
      <c r="E43">
        <f>D43 * Dati!A43</f>
        <v>2.491597663061253E-11</v>
      </c>
      <c r="F43">
        <f xml:space="preserve"> - (Dati!B43 * LOG(C43) + (1 - Dati!B43) * LOG(1 - C43))</f>
        <v>1.4426338899639572E-13</v>
      </c>
    </row>
    <row r="44" spans="1:6" ht="15">
      <c r="A44" s="16">
        <v>60</v>
      </c>
      <c r="B44" s="15">
        <v>0</v>
      </c>
      <c r="C44">
        <f>1 / (1 + EXP(-(Iterazioni!$B$6 + Iterazioni!$C$6 * Dati!A44)))</f>
        <v>1.0385764005846078E-10</v>
      </c>
      <c r="D44">
        <f>C44 - Dati!B44</f>
        <v>1.0385764005846078E-10</v>
      </c>
      <c r="E44">
        <f>D44 * Dati!A44</f>
        <v>6.2314584035076472E-9</v>
      </c>
      <c r="F44">
        <f xml:space="preserve"> - (Dati!B44 * LOG(C44) + (1 - Dati!B44) * LOG(1 - C44))</f>
        <v>4.5104777893679099E-11</v>
      </c>
    </row>
    <row r="45" spans="1:6" ht="15">
      <c r="A45" s="16">
        <v>39</v>
      </c>
      <c r="B45" s="15">
        <v>0</v>
      </c>
      <c r="C45">
        <f>1 / (1 + EXP(-(Iterazioni!$B$6 + Iterazioni!$C$6 * Dati!A45)))</f>
        <v>3.2319812127659961E-7</v>
      </c>
      <c r="D45">
        <f>C45 - Dati!B45</f>
        <v>3.2319812127659961E-7</v>
      </c>
      <c r="E45">
        <f>D45 * Dati!A45</f>
        <v>1.2604726729787385E-5</v>
      </c>
      <c r="F45">
        <f xml:space="preserve"> - (Dati!B45 * LOG(C45) + (1 - Dati!B45) * LOG(1 - C45))</f>
        <v>1.4036318330984285E-7</v>
      </c>
    </row>
    <row r="46" spans="1:6" ht="15">
      <c r="A46" s="17">
        <v>61</v>
      </c>
      <c r="B46" s="18">
        <v>0</v>
      </c>
      <c r="C46">
        <f>1 / (1 + EXP(-(Iterazioni!$B$6 + Iterazioni!$C$6 * Dati!A46)))</f>
        <v>7.0811478683600087E-11</v>
      </c>
      <c r="D46">
        <f>C46 - Dati!B46</f>
        <v>7.0811478683600087E-11</v>
      </c>
      <c r="E46">
        <f>D46 * Dati!A46</f>
        <v>4.3195001996996055E-9</v>
      </c>
      <c r="F46">
        <f xml:space="preserve"> - (Dati!B46 * LOG(C46) + (1 - Dati!B46) * LOG(1 - C46))</f>
        <v>3.0753029722326417E-11</v>
      </c>
    </row>
    <row r="47" spans="1:6" ht="1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0B44-0102-44E6-BC84-43484EB72638}">
  <dimension ref="A1:F47"/>
  <sheetViews>
    <sheetView zoomScale="147" workbookViewId="0">
      <selection activeCell="G2" sqref="G2"/>
    </sheetView>
  </sheetViews>
  <sheetFormatPr defaultRowHeight="14.45"/>
  <cols>
    <col min="1" max="2" width="13.28515625" style="1" customWidth="1"/>
    <col min="3" max="6" width="13.28515625" customWidth="1"/>
  </cols>
  <sheetData>
    <row r="1" spans="1:6" ht="15">
      <c r="A1" s="21" t="s">
        <v>6</v>
      </c>
      <c r="B1" s="22" t="s">
        <v>7</v>
      </c>
      <c r="C1" s="24" t="s">
        <v>8</v>
      </c>
      <c r="D1" s="24" t="s">
        <v>9</v>
      </c>
      <c r="E1" s="24" t="s">
        <v>10</v>
      </c>
      <c r="F1" s="24" t="s">
        <v>11</v>
      </c>
    </row>
    <row r="2" spans="1:6" ht="15">
      <c r="A2" s="14">
        <v>35</v>
      </c>
      <c r="B2" s="15">
        <v>0</v>
      </c>
      <c r="C2">
        <f>1 / (1 + EXP(-(Iterazioni!$B$7 + Iterazioni!$C$7 * Dati!A2)))</f>
        <v>1.5748859720784612E-4</v>
      </c>
      <c r="D2">
        <f>C2 - Dati!B2</f>
        <v>1.5748859720784612E-4</v>
      </c>
      <c r="E2">
        <f>D2 * Dati!A2</f>
        <v>5.5121009022746142E-3</v>
      </c>
      <c r="F2">
        <f xml:space="preserve"> - (Dati!B2 * LOG(C2) + (1 - Dati!B2) * LOG(1 - C2))</f>
        <v>6.8401815124410391E-5</v>
      </c>
    </row>
    <row r="3" spans="1:6" ht="15">
      <c r="A3" s="14">
        <v>45</v>
      </c>
      <c r="B3" s="15">
        <v>0</v>
      </c>
      <c r="C3">
        <f>1 / (1 + EXP(-(Iterazioni!$B$7 + Iterazioni!$C$7 * Dati!A3)))</f>
        <v>1.2929320362453399E-5</v>
      </c>
      <c r="D3">
        <f>C3 - Dati!B3</f>
        <v>1.2929320362453399E-5</v>
      </c>
      <c r="E3">
        <f>D3 * Dati!A3</f>
        <v>5.8181941631040295E-4</v>
      </c>
      <c r="F3">
        <f xml:space="preserve"> - (Dati!B3 * LOG(C3) + (1 - Dati!B3) * LOG(1 - C3))</f>
        <v>5.6151687884092701E-6</v>
      </c>
    </row>
    <row r="4" spans="1:6" ht="15">
      <c r="A4" s="14">
        <v>55</v>
      </c>
      <c r="B4" s="15">
        <v>0</v>
      </c>
      <c r="C4">
        <f>1 / (1 + EXP(-(Iterazioni!$B$7 + Iterazioni!$C$7 * Dati!A4)))</f>
        <v>1.0613158398744894E-6</v>
      </c>
      <c r="D4">
        <f>C4 - Dati!B4</f>
        <v>1.0613158398744894E-6</v>
      </c>
      <c r="E4">
        <f>D4 * Dati!A4</f>
        <v>5.837237119309692E-5</v>
      </c>
      <c r="F4">
        <f xml:space="preserve"> - (Dati!B4 * LOG(C4) + (1 - Dati!B4) * LOG(1 - C4))</f>
        <v>4.6092385740876189E-7</v>
      </c>
    </row>
    <row r="5" spans="1:6" ht="15">
      <c r="A5" s="14">
        <v>25</v>
      </c>
      <c r="B5" s="15">
        <v>0</v>
      </c>
      <c r="C5">
        <f>1 / (1 + EXP(-(Iterazioni!$B$7 + Iterazioni!$C$7 * Dati!A5)))</f>
        <v>1.9152309418740776E-3</v>
      </c>
      <c r="D5">
        <f>C5 - Dati!B5</f>
        <v>1.9152309418740776E-3</v>
      </c>
      <c r="E5">
        <f>D5 * Dati!A5</f>
        <v>4.788077354685194E-2</v>
      </c>
      <c r="F5">
        <f xml:space="preserve"> - (Dati!B5 * LOG(C5) + (1 - Dati!B5) * LOG(1 - C5))</f>
        <v>8.3257176797299688E-4</v>
      </c>
    </row>
    <row r="6" spans="1:6" ht="15">
      <c r="A6" s="14">
        <v>65</v>
      </c>
      <c r="B6" s="15">
        <v>1</v>
      </c>
      <c r="C6">
        <f>1 / (1 + EXP(-(Iterazioni!$B$7 + Iterazioni!$C$7 * Dati!A6)))</f>
        <v>8.7118194125966467E-8</v>
      </c>
      <c r="D6">
        <f>C6 - Dati!B6</f>
        <v>-0.9999999128818059</v>
      </c>
      <c r="E6">
        <f>D6 * Dati!A6</f>
        <v>-64.999994337317389</v>
      </c>
      <c r="F6">
        <f xml:space="preserve"> - (Dati!B6 * LOG(C6) + (1 - Dati!B6) * LOG(1 - C6))</f>
        <v>7.0598911356542144</v>
      </c>
    </row>
    <row r="7" spans="1:6" ht="15">
      <c r="A7" s="16">
        <v>80</v>
      </c>
      <c r="B7" s="15">
        <v>0</v>
      </c>
      <c r="C7">
        <f>1 / (1 + EXP(-(Iterazioni!$B$7 + Iterazioni!$C$7 * Dati!A7)))</f>
        <v>2.0488237231810897E-9</v>
      </c>
      <c r="D7">
        <f>C7 - Dati!B7</f>
        <v>2.0488237231810897E-9</v>
      </c>
      <c r="E7">
        <f>D7 * Dati!A7</f>
        <v>1.6390589785448719E-7</v>
      </c>
      <c r="F7">
        <f xml:space="preserve"> - (Dati!B7 * LOG(C7) + (1 - Dati!B7) * LOG(1 - C7))</f>
        <v>8.8979286178545809E-10</v>
      </c>
    </row>
    <row r="8" spans="1:6" ht="15">
      <c r="A8" s="16">
        <v>48</v>
      </c>
      <c r="B8" s="15">
        <v>0</v>
      </c>
      <c r="C8">
        <f>1 / (1 + EXP(-(Iterazioni!$B$7 + Iterazioni!$C$7 * Dati!A8)))</f>
        <v>6.1074201533616025E-6</v>
      </c>
      <c r="D8">
        <f>C8 - Dati!B8</f>
        <v>6.1074201533616025E-6</v>
      </c>
      <c r="E8">
        <f>D8 * Dati!A8</f>
        <v>2.9315616736135691E-4</v>
      </c>
      <c r="F8">
        <f xml:space="preserve"> - (Dati!B8 * LOG(C8) + (1 - Dati!B8) * LOG(1 - C8))</f>
        <v>2.6524269710329846E-6</v>
      </c>
    </row>
    <row r="9" spans="1:6" ht="15">
      <c r="A9" s="16">
        <v>82</v>
      </c>
      <c r="B9" s="15">
        <v>0</v>
      </c>
      <c r="C9">
        <f>1 / (1 + EXP(-(Iterazioni!$B$7 + Iterazioni!$C$7 * Dati!A9)))</f>
        <v>1.2426744054577013E-9</v>
      </c>
      <c r="D9">
        <f>C9 - Dati!B9</f>
        <v>1.2426744054577013E-9</v>
      </c>
      <c r="E9">
        <f>D9 * Dati!A9</f>
        <v>1.0189930124753151E-7</v>
      </c>
      <c r="F9">
        <f xml:space="preserve"> - (Dati!B9 * LOG(C9) + (1 - Dati!B9) * LOG(1 - C9))</f>
        <v>5.396866384538478E-10</v>
      </c>
    </row>
    <row r="10" spans="1:6" ht="15">
      <c r="A10" s="16">
        <v>81</v>
      </c>
      <c r="B10" s="15">
        <v>0</v>
      </c>
      <c r="C10">
        <f>1 / (1 + EXP(-(Iterazioni!$B$7 + Iterazioni!$C$7 * Dati!A10)))</f>
        <v>1.5956255207118387E-9</v>
      </c>
      <c r="D10">
        <f>C10 - Dati!B10</f>
        <v>1.5956255207118387E-9</v>
      </c>
      <c r="E10">
        <f>D10 * Dati!A10</f>
        <v>1.2924566717765894E-7</v>
      </c>
      <c r="F10">
        <f xml:space="preserve"> - (Dati!B10 * LOG(C10) + (1 - Dati!B10) * LOG(1 - C10))</f>
        <v>6.929713593337329E-10</v>
      </c>
    </row>
    <row r="11" spans="1:6" ht="15">
      <c r="A11" s="16">
        <v>73</v>
      </c>
      <c r="B11" s="15">
        <v>0</v>
      </c>
      <c r="C11">
        <f>1 / (1 + EXP(-(Iterazioni!$B$7 + Iterazioni!$C$7 * Dati!A11)))</f>
        <v>1.179016636522987E-8</v>
      </c>
      <c r="D11">
        <f>C11 - Dati!B11</f>
        <v>1.179016636522987E-8</v>
      </c>
      <c r="E11">
        <f>D11 * Dati!A11</f>
        <v>8.6068214466178049E-7</v>
      </c>
      <c r="F11">
        <f xml:space="preserve"> - (Dati!B11 * LOG(C11) + (1 - Dati!B11) * LOG(1 - C11))</f>
        <v>5.1204042378789704E-9</v>
      </c>
    </row>
    <row r="12" spans="1:6" ht="15">
      <c r="A12" s="16">
        <v>84</v>
      </c>
      <c r="B12" s="15">
        <v>1</v>
      </c>
      <c r="C12">
        <f>1 / (1 + EXP(-(Iterazioni!$B$7 + Iterazioni!$C$7 * Dati!A12)))</f>
        <v>7.537201273187987E-10</v>
      </c>
      <c r="D12">
        <f>C12 - Dati!B12</f>
        <v>-0.99999999924627991</v>
      </c>
      <c r="E12">
        <f>D12 * Dati!A12</f>
        <v>-83.999999936687516</v>
      </c>
      <c r="F12">
        <f xml:space="preserve"> - (Dati!B12 * LOG(C12) + (1 - Dati!B12) * LOG(1 - C12))</f>
        <v>9.1227898871870448</v>
      </c>
    </row>
    <row r="13" spans="1:6" ht="15">
      <c r="A13" s="16">
        <v>62</v>
      </c>
      <c r="B13" s="15">
        <v>1</v>
      </c>
      <c r="C13">
        <f>1 / (1 + EXP(-(Iterazioni!$B$7 + Iterazioni!$C$7 * Dati!A13)))</f>
        <v>1.8442920046494284E-7</v>
      </c>
      <c r="D13">
        <f>C13 - Dati!B13</f>
        <v>-0.99999981557079953</v>
      </c>
      <c r="E13">
        <f>D13 * Dati!A13</f>
        <v>-61.999988565389572</v>
      </c>
      <c r="F13">
        <f xml:space="preserve"> - (Dati!B13 * LOG(C13) + (1 - Dati!B13) * LOG(1 - C13))</f>
        <v>6.7341703164884148</v>
      </c>
    </row>
    <row r="14" spans="1:6" ht="15">
      <c r="A14" s="16">
        <v>53</v>
      </c>
      <c r="B14" s="15">
        <v>0</v>
      </c>
      <c r="C14">
        <f>1 / (1 + EXP(-(Iterazioni!$B$7 + Iterazioni!$C$7 * Dati!A14)))</f>
        <v>1.7498127953891516E-6</v>
      </c>
      <c r="D14">
        <f>C14 - Dati!B14</f>
        <v>1.7498127953891516E-6</v>
      </c>
      <c r="E14">
        <f>D14 * Dati!A14</f>
        <v>9.2740078155625035E-5</v>
      </c>
      <c r="F14">
        <f xml:space="preserve"> - (Dati!B14 * LOG(C14) + (1 - Dati!B14) * LOG(1 - C14))</f>
        <v>7.5993470629409664E-7</v>
      </c>
    </row>
    <row r="15" spans="1:6" ht="15">
      <c r="A15" s="16">
        <v>76</v>
      </c>
      <c r="B15" s="15">
        <v>0</v>
      </c>
      <c r="C15">
        <f>1 / (1 + EXP(-(Iterazioni!$B$7 + Iterazioni!$C$7 * Dati!A15)))</f>
        <v>5.5692802768325522E-9</v>
      </c>
      <c r="D15">
        <f>C15 - Dati!B15</f>
        <v>5.5692802768325522E-9</v>
      </c>
      <c r="E15">
        <f>D15 * Dati!A15</f>
        <v>4.2326530103927396E-7</v>
      </c>
      <c r="F15">
        <f xml:space="preserve"> - (Dati!B15 * LOG(C15) + (1 - Dati!B15) * LOG(1 - C15))</f>
        <v>2.4187076914732009E-9</v>
      </c>
    </row>
    <row r="16" spans="1:6" ht="15">
      <c r="A16" s="16">
        <v>51</v>
      </c>
      <c r="B16" s="15">
        <v>0</v>
      </c>
      <c r="C16">
        <f>1 / (1 + EXP(-(Iterazioni!$B$7 + Iterazioni!$C$7 * Dati!A16)))</f>
        <v>2.8849503006766104E-6</v>
      </c>
      <c r="D16">
        <f>C16 - Dati!B16</f>
        <v>2.8849503006766104E-6</v>
      </c>
      <c r="E16">
        <f>D16 * Dati!A16</f>
        <v>1.4713246533450713E-4</v>
      </c>
      <c r="F16">
        <f xml:space="preserve"> - (Dati!B16 * LOG(C16) + (1 - Dati!B16) * LOG(1 - C16))</f>
        <v>1.2529198034449626E-6</v>
      </c>
    </row>
    <row r="17" spans="1:6" ht="15">
      <c r="A17" s="16">
        <v>80</v>
      </c>
      <c r="B17" s="15">
        <v>0</v>
      </c>
      <c r="C17">
        <f>1 / (1 + EXP(-(Iterazioni!$B$7 + Iterazioni!$C$7 * Dati!A17)))</f>
        <v>2.0488237231810897E-9</v>
      </c>
      <c r="D17">
        <f>C17 - Dati!B17</f>
        <v>2.0488237231810897E-9</v>
      </c>
      <c r="E17">
        <f>D17 * Dati!A17</f>
        <v>1.6390589785448719E-7</v>
      </c>
      <c r="F17">
        <f xml:space="preserve"> - (Dati!B17 * LOG(C17) + (1 - Dati!B17) * LOG(1 - C17))</f>
        <v>8.8979286178545809E-10</v>
      </c>
    </row>
    <row r="18" spans="1:6" ht="15">
      <c r="A18" s="16">
        <v>56</v>
      </c>
      <c r="B18" s="15">
        <v>0</v>
      </c>
      <c r="C18">
        <f>1 / (1 + EXP(-(Iterazioni!$B$7 + Iterazioni!$C$7 * Dati!A18)))</f>
        <v>8.26553801223954E-7</v>
      </c>
      <c r="D18">
        <f>C18 - Dati!B18</f>
        <v>8.26553801223954E-7</v>
      </c>
      <c r="E18">
        <f>D18 * Dati!A18</f>
        <v>4.6287012868541423E-5</v>
      </c>
      <c r="F18">
        <f xml:space="preserve"> - (Dati!B18 * LOG(C18) + (1 - Dati!B18) * LOG(1 - C18))</f>
        <v>3.5896790320218831E-7</v>
      </c>
    </row>
    <row r="19" spans="1:6" ht="15">
      <c r="A19" s="16">
        <v>49</v>
      </c>
      <c r="B19" s="15">
        <v>0</v>
      </c>
      <c r="C19">
        <f>1 / (1 + EXP(-(Iterazioni!$B$7 + Iterazioni!$C$7 * Dati!A19)))</f>
        <v>4.7564700237684549E-6</v>
      </c>
      <c r="D19">
        <f>C19 - Dati!B19</f>
        <v>4.7564700237684549E-6</v>
      </c>
      <c r="E19">
        <f>D19 * Dati!A19</f>
        <v>2.330670311646543E-4</v>
      </c>
      <c r="F19">
        <f xml:space="preserve"> - (Dati!B19 * LOG(C19) + (1 - Dati!B19) * LOG(1 - C19))</f>
        <v>2.065713597403419E-6</v>
      </c>
    </row>
    <row r="20" spans="1:6" ht="15">
      <c r="A20" s="16">
        <v>53</v>
      </c>
      <c r="B20" s="15">
        <v>0</v>
      </c>
      <c r="C20">
        <f>1 / (1 + EXP(-(Iterazioni!$B$7 + Iterazioni!$C$7 * Dati!A20)))</f>
        <v>1.7498127953891516E-6</v>
      </c>
      <c r="D20">
        <f>C20 - Dati!B20</f>
        <v>1.7498127953891516E-6</v>
      </c>
      <c r="E20">
        <f>D20 * Dati!A20</f>
        <v>9.2740078155625035E-5</v>
      </c>
      <c r="F20">
        <f xml:space="preserve"> - (Dati!B20 * LOG(C20) + (1 - Dati!B20) * LOG(1 - C20))</f>
        <v>7.5993470629409664E-7</v>
      </c>
    </row>
    <row r="21" spans="1:6" ht="15">
      <c r="A21" s="16">
        <v>63</v>
      </c>
      <c r="B21" s="15">
        <v>0</v>
      </c>
      <c r="C21">
        <f>1 / (1 + EXP(-(Iterazioni!$B$7 + Iterazioni!$C$7 * Dati!A21)))</f>
        <v>1.436336116029492E-7</v>
      </c>
      <c r="D21">
        <f>C21 - Dati!B21</f>
        <v>1.436336116029492E-7</v>
      </c>
      <c r="E21">
        <f>D21 * Dati!A21</f>
        <v>9.0489175309858004E-6</v>
      </c>
      <c r="F21">
        <f xml:space="preserve"> - (Dati!B21 * LOG(C21) + (1 - Dati!B21) * LOG(1 - C21))</f>
        <v>6.2379289396273282E-8</v>
      </c>
    </row>
    <row r="22" spans="1:6" ht="15">
      <c r="A22" s="16">
        <v>76</v>
      </c>
      <c r="B22" s="15">
        <v>0</v>
      </c>
      <c r="C22">
        <f>1 / (1 + EXP(-(Iterazioni!$B$7 + Iterazioni!$C$7 * Dati!A22)))</f>
        <v>5.5692802768325522E-9</v>
      </c>
      <c r="D22">
        <f>C22 - Dati!B22</f>
        <v>5.5692802768325522E-9</v>
      </c>
      <c r="E22">
        <f>D22 * Dati!A22</f>
        <v>4.2326530103927396E-7</v>
      </c>
      <c r="F22">
        <f xml:space="preserve"> - (Dati!B22 * LOG(C22) + (1 - Dati!B22) * LOG(1 - C22))</f>
        <v>2.4187076914732009E-9</v>
      </c>
    </row>
    <row r="23" spans="1:6" ht="15">
      <c r="A23" s="16">
        <v>34</v>
      </c>
      <c r="B23" s="15">
        <v>0</v>
      </c>
      <c r="C23">
        <f>1 / (1 + EXP(-(Iterazioni!$B$7 + Iterazioni!$C$7 * Dati!A23)))</f>
        <v>2.022103166313308E-4</v>
      </c>
      <c r="D23">
        <f>C23 - Dati!B23</f>
        <v>2.022103166313308E-4</v>
      </c>
      <c r="E23">
        <f>D23 * Dati!A23</f>
        <v>6.8751507654652476E-3</v>
      </c>
      <c r="F23">
        <f xml:space="preserve"> - (Dati!B23 * LOG(C23) + (1 - Dati!B23) * LOG(1 - C23))</f>
        <v>8.7827704830209874E-5</v>
      </c>
    </row>
    <row r="24" spans="1:6" ht="15">
      <c r="A24" s="16">
        <v>53</v>
      </c>
      <c r="B24" s="15">
        <v>0</v>
      </c>
      <c r="C24">
        <f>1 / (1 + EXP(-(Iterazioni!$B$7 + Iterazioni!$C$7 * Dati!A24)))</f>
        <v>1.7498127953891516E-6</v>
      </c>
      <c r="D24">
        <f>C24 - Dati!B24</f>
        <v>1.7498127953891516E-6</v>
      </c>
      <c r="E24">
        <f>D24 * Dati!A24</f>
        <v>9.2740078155625035E-5</v>
      </c>
      <c r="F24">
        <f xml:space="preserve"> - (Dati!B24 * LOG(C24) + (1 - Dati!B24) * LOG(1 - C24))</f>
        <v>7.5993470629409664E-7</v>
      </c>
    </row>
    <row r="25" spans="1:6" ht="15">
      <c r="A25" s="16">
        <v>39</v>
      </c>
      <c r="B25" s="15">
        <v>0</v>
      </c>
      <c r="C25">
        <f>1 / (1 + EXP(-(Iterazioni!$B$7 + Iterazioni!$C$7 * Dati!A25)))</f>
        <v>5.7942585419217499E-5</v>
      </c>
      <c r="D25">
        <f>C25 - Dati!B25</f>
        <v>5.7942585419217499E-5</v>
      </c>
      <c r="E25">
        <f>D25 * Dati!A25</f>
        <v>2.2597608313494823E-3</v>
      </c>
      <c r="F25">
        <f xml:space="preserve"> - (Dati!B25 * LOG(C25) + (1 - Dati!B25) * LOG(1 - C25))</f>
        <v>2.5164874180763101E-5</v>
      </c>
    </row>
    <row r="26" spans="1:6" ht="15">
      <c r="A26" s="16">
        <v>41</v>
      </c>
      <c r="B26" s="15">
        <v>0</v>
      </c>
      <c r="C26">
        <f>1 / (1 + EXP(-(Iterazioni!$B$7 + Iterazioni!$C$7 * Dati!A26)))</f>
        <v>3.5144755812088006E-5</v>
      </c>
      <c r="D26">
        <f>C26 - Dati!B26</f>
        <v>3.5144755812088006E-5</v>
      </c>
      <c r="E26">
        <f>D26 * Dati!A26</f>
        <v>1.4409349882956082E-3</v>
      </c>
      <c r="F26">
        <f xml:space="preserve"> - (Dati!B26 * LOG(C26) + (1 - Dati!B26) * LOG(1 - C26))</f>
        <v>1.5263441733579226E-5</v>
      </c>
    </row>
    <row r="27" spans="1:6" ht="15">
      <c r="A27" s="16">
        <v>64</v>
      </c>
      <c r="B27" s="15">
        <v>0</v>
      </c>
      <c r="C27">
        <f>1 / (1 + EXP(-(Iterazioni!$B$7 + Iterazioni!$C$7 * Dati!A27)))</f>
        <v>1.1186197274578946E-7</v>
      </c>
      <c r="D27">
        <f>C27 - Dati!B27</f>
        <v>1.1186197274578946E-7</v>
      </c>
      <c r="E27">
        <f>D27 * Dati!A27</f>
        <v>7.1591662557305253E-6</v>
      </c>
      <c r="F27">
        <f xml:space="preserve"> - (Dati!B27 * LOG(C27) + (1 - Dati!B27) * LOG(1 - C27))</f>
        <v>4.8581040237204155E-8</v>
      </c>
    </row>
    <row r="28" spans="1:6" ht="15">
      <c r="A28" s="16">
        <v>66</v>
      </c>
      <c r="B28" s="15">
        <v>0</v>
      </c>
      <c r="C28">
        <f>1 / (1 + EXP(-(Iterazioni!$B$7 + Iterazioni!$C$7 * Dati!A28)))</f>
        <v>6.7847719112527228E-8</v>
      </c>
      <c r="D28">
        <f>C28 - Dati!B28</f>
        <v>6.7847719112527228E-8</v>
      </c>
      <c r="E28">
        <f>D28 * Dati!A28</f>
        <v>4.4779494614267967E-6</v>
      </c>
      <c r="F28">
        <f xml:space="preserve"> - (Dati!B28 * LOG(C28) + (1 - Dati!B28) * LOG(1 - C28))</f>
        <v>2.9465891018624344E-8</v>
      </c>
    </row>
    <row r="29" spans="1:6" ht="15">
      <c r="A29" s="16">
        <v>79</v>
      </c>
      <c r="B29" s="15">
        <v>1</v>
      </c>
      <c r="C29">
        <f>1 / (1 + EXP(-(Iterazioni!$B$7 + Iterazioni!$C$7 * Dati!A29)))</f>
        <v>2.6307417333464526E-9</v>
      </c>
      <c r="D29">
        <f>C29 - Dati!B29</f>
        <v>-0.99999999736925826</v>
      </c>
      <c r="E29">
        <f>D29 * Dati!A29</f>
        <v>-78.999999792171408</v>
      </c>
      <c r="F29">
        <f xml:space="preserve"> - (Dati!B29 * LOG(C29) + (1 - Dati!B29) * LOG(1 - C29))</f>
        <v>8.57992178562316</v>
      </c>
    </row>
    <row r="30" spans="1:6" ht="15">
      <c r="A30" s="16">
        <v>78</v>
      </c>
      <c r="B30" s="15">
        <v>0</v>
      </c>
      <c r="C30">
        <f>1 / (1 + EXP(-(Iterazioni!$B$7 + Iterazioni!$C$7 * Dati!A30)))</f>
        <v>3.377939247834022E-9</v>
      </c>
      <c r="D30">
        <f>C30 - Dati!B30</f>
        <v>3.377939247834022E-9</v>
      </c>
      <c r="E30">
        <f>D30 * Dati!A30</f>
        <v>2.6347926133105372E-7</v>
      </c>
      <c r="F30">
        <f xml:space="preserve"> - (Dati!B30 * LOG(C30) + (1 - Dati!B30) * LOG(1 - C30))</f>
        <v>1.4670203840121498E-9</v>
      </c>
    </row>
    <row r="31" spans="1:6" ht="15">
      <c r="A31" s="16">
        <v>74</v>
      </c>
      <c r="B31" s="15">
        <v>1</v>
      </c>
      <c r="C31">
        <f>1 / (1 + EXP(-(Iterazioni!$B$7 + Iterazioni!$C$7 * Dati!A31)))</f>
        <v>9.1821908217300913E-9</v>
      </c>
      <c r="D31">
        <f>C31 - Dati!B31</f>
        <v>-0.99999999081780921</v>
      </c>
      <c r="E31">
        <f>D31 * Dati!A31</f>
        <v>-73.999999320517887</v>
      </c>
      <c r="F31">
        <f xml:space="preserve"> - (Dati!B31 * LOG(C31) + (1 - Dati!B31) * LOG(1 - C31))</f>
        <v>8.0370536860893527</v>
      </c>
    </row>
    <row r="32" spans="1:6" ht="15">
      <c r="A32" s="16">
        <v>75</v>
      </c>
      <c r="B32" s="15">
        <v>0</v>
      </c>
      <c r="C32">
        <f>1 / (1 + EXP(-(Iterazioni!$B$7 + Iterazioni!$C$7 * Dati!A32)))</f>
        <v>7.1510974167990095E-9</v>
      </c>
      <c r="D32">
        <f>C32 - Dati!B32</f>
        <v>7.1510974167990095E-9</v>
      </c>
      <c r="E32">
        <f>D32 * Dati!A32</f>
        <v>5.3633230625992576E-7</v>
      </c>
      <c r="F32">
        <f xml:space="preserve"> - (Dati!B32 * LOG(C32) + (1 - Dati!B32) * LOG(1 - C32))</f>
        <v>3.1056821431907313E-9</v>
      </c>
    </row>
    <row r="33" spans="1:6" ht="15">
      <c r="A33" s="16">
        <v>83</v>
      </c>
      <c r="B33" s="15">
        <v>1</v>
      </c>
      <c r="C33">
        <f>1 / (1 + EXP(-(Iterazioni!$B$7 + Iterazioni!$C$7 * Dati!A33)))</f>
        <v>9.6779580033927662E-10</v>
      </c>
      <c r="D33">
        <f>C33 - Dati!B33</f>
        <v>-0.99999999903220416</v>
      </c>
      <c r="E33">
        <f>D33 * Dati!A33</f>
        <v>-82.999999919672945</v>
      </c>
      <c r="F33">
        <f xml:space="preserve"> - (Dati!B33 * LOG(C33) + (1 - Dati!B33) * LOG(1 - C33))</f>
        <v>9.014216266804203</v>
      </c>
    </row>
    <row r="34" spans="1:6" ht="15">
      <c r="A34" s="16">
        <v>72</v>
      </c>
      <c r="B34" s="15">
        <v>0</v>
      </c>
      <c r="C34">
        <f>1 / (1 + EXP(-(Iterazioni!$B$7 + Iterazioni!$C$7 * Dati!A34)))</f>
        <v>1.5138873229236431E-8</v>
      </c>
      <c r="D34">
        <f>C34 - Dati!B34</f>
        <v>1.5138873229236431E-8</v>
      </c>
      <c r="E34">
        <f>D34 * Dati!A34</f>
        <v>1.0899988725050229E-6</v>
      </c>
      <c r="F34">
        <f xml:space="preserve"> - (Dati!B34 * LOG(C34) + (1 - Dati!B34) * LOG(1 - C34))</f>
        <v>6.5747291714652342E-9</v>
      </c>
    </row>
    <row r="35" spans="1:6" ht="15">
      <c r="A35" s="16">
        <v>51</v>
      </c>
      <c r="B35" s="15">
        <v>0</v>
      </c>
      <c r="C35">
        <f>1 / (1 + EXP(-(Iterazioni!$B$7 + Iterazioni!$C$7 * Dati!A35)))</f>
        <v>2.8849503006766104E-6</v>
      </c>
      <c r="D35">
        <f>C35 - Dati!B35</f>
        <v>2.8849503006766104E-6</v>
      </c>
      <c r="E35">
        <f>D35 * Dati!A35</f>
        <v>1.4713246533450713E-4</v>
      </c>
      <c r="F35">
        <f xml:space="preserve"> - (Dati!B35 * LOG(C35) + (1 - Dati!B35) * LOG(1 - C35))</f>
        <v>1.2529198034449626E-6</v>
      </c>
    </row>
    <row r="36" spans="1:6" ht="15">
      <c r="A36" s="16">
        <v>32</v>
      </c>
      <c r="B36" s="15">
        <v>0</v>
      </c>
      <c r="C36">
        <f>1 / (1 + EXP(-(Iterazioni!$B$7 + Iterazioni!$C$7 * Dati!A36)))</f>
        <v>3.3334472264653621E-4</v>
      </c>
      <c r="D36">
        <f>C36 - Dati!B36</f>
        <v>3.3334472264653621E-4</v>
      </c>
      <c r="E36">
        <f>D36 * Dati!A36</f>
        <v>1.0667031124689159E-2</v>
      </c>
      <c r="F36">
        <f xml:space="preserve"> - (Dati!B36 * LOG(C36) + (1 - Dati!B36) * LOG(1 - C36))</f>
        <v>1.4479390810054175E-4</v>
      </c>
    </row>
    <row r="37" spans="1:6" ht="15">
      <c r="A37" s="16">
        <v>34</v>
      </c>
      <c r="B37" s="15">
        <v>0</v>
      </c>
      <c r="C37">
        <f>1 / (1 + EXP(-(Iterazioni!$B$7 + Iterazioni!$C$7 * Dati!A37)))</f>
        <v>2.022103166313308E-4</v>
      </c>
      <c r="D37">
        <f>C37 - Dati!B37</f>
        <v>2.022103166313308E-4</v>
      </c>
      <c r="E37">
        <f>D37 * Dati!A37</f>
        <v>6.8751507654652476E-3</v>
      </c>
      <c r="F37">
        <f xml:space="preserve"> - (Dati!B37 * LOG(C37) + (1 - Dati!B37) * LOG(1 - C37))</f>
        <v>8.7827704830209874E-5</v>
      </c>
    </row>
    <row r="38" spans="1:6" ht="15">
      <c r="A38" s="16">
        <v>68</v>
      </c>
      <c r="B38" s="15">
        <v>0</v>
      </c>
      <c r="C38">
        <f>1 / (1 + EXP(-(Iterazioni!$B$7 + Iterazioni!$C$7 * Dati!A38)))</f>
        <v>4.1151722931904869E-8</v>
      </c>
      <c r="D38">
        <f>C38 - Dati!B38</f>
        <v>4.1151722931904869E-8</v>
      </c>
      <c r="E38">
        <f>D38 * Dati!A38</f>
        <v>2.7983171593695309E-6</v>
      </c>
      <c r="F38">
        <f xml:space="preserve"> - (Dati!B38 * LOG(C38) + (1 - Dati!B38) * LOG(1 - C38))</f>
        <v>1.7871966551911225E-8</v>
      </c>
    </row>
    <row r="39" spans="1:6" ht="15">
      <c r="A39" s="16">
        <v>51</v>
      </c>
      <c r="B39" s="15">
        <v>0</v>
      </c>
      <c r="C39">
        <f>1 / (1 + EXP(-(Iterazioni!$B$7 + Iterazioni!$C$7 * Dati!A39)))</f>
        <v>2.8849503006766104E-6</v>
      </c>
      <c r="D39">
        <f>C39 - Dati!B39</f>
        <v>2.8849503006766104E-6</v>
      </c>
      <c r="E39">
        <f>D39 * Dati!A39</f>
        <v>1.4713246533450713E-4</v>
      </c>
      <c r="F39">
        <f xml:space="preserve"> - (Dati!B39 * LOG(C39) + (1 - Dati!B39) * LOG(1 - C39))</f>
        <v>1.2529198034449626E-6</v>
      </c>
    </row>
    <row r="40" spans="1:6" ht="15">
      <c r="A40" s="16">
        <v>76</v>
      </c>
      <c r="B40" s="15">
        <v>1</v>
      </c>
      <c r="C40">
        <f>1 / (1 + EXP(-(Iterazioni!$B$7 + Iterazioni!$C$7 * Dati!A40)))</f>
        <v>5.5692802768325522E-9</v>
      </c>
      <c r="D40">
        <f>C40 - Dati!B40</f>
        <v>-0.99999999443071974</v>
      </c>
      <c r="E40">
        <f>D40 * Dati!A40</f>
        <v>-75.999999576734695</v>
      </c>
      <c r="F40">
        <f xml:space="preserve"> - (Dati!B40 * LOG(C40) + (1 - Dati!B40) * LOG(1 - C40))</f>
        <v>8.2542009254719115</v>
      </c>
    </row>
    <row r="41" spans="1:6" ht="15">
      <c r="A41" s="16">
        <v>72</v>
      </c>
      <c r="B41" s="15">
        <v>1</v>
      </c>
      <c r="C41">
        <f>1 / (1 + EXP(-(Iterazioni!$B$7 + Iterazioni!$C$7 * Dati!A41)))</f>
        <v>1.5138873229236431E-8</v>
      </c>
      <c r="D41">
        <f>C41 - Dati!B41</f>
        <v>-0.99999998486112673</v>
      </c>
      <c r="E41">
        <f>D41 * Dati!A41</f>
        <v>-71.999998910001125</v>
      </c>
      <c r="F41">
        <f xml:space="preserve"> - (Dati!B41 * LOG(C41) + (1 - Dati!B41) * LOG(1 - C41))</f>
        <v>7.8199064477246818</v>
      </c>
    </row>
    <row r="42" spans="1:6" ht="15">
      <c r="A42" s="16">
        <v>46</v>
      </c>
      <c r="B42" s="15">
        <v>0</v>
      </c>
      <c r="C42">
        <f>1 / (1 + EXP(-(Iterazioni!$B$7 + Iterazioni!$C$7 * Dati!A42)))</f>
        <v>1.0069393620877833E-5</v>
      </c>
      <c r="D42">
        <f>C42 - Dati!B42</f>
        <v>1.0069393620877833E-5</v>
      </c>
      <c r="E42">
        <f>D42 * Dati!A42</f>
        <v>4.6319210656038033E-4</v>
      </c>
      <c r="F42">
        <f xml:space="preserve"> - (Dati!B42 * LOG(C42) + (1 - Dati!B42) * LOG(1 - C42))</f>
        <v>4.3731041029654528E-6</v>
      </c>
    </row>
    <row r="43" spans="1:6" ht="15">
      <c r="A43" s="16">
        <v>75</v>
      </c>
      <c r="B43" s="15">
        <v>0</v>
      </c>
      <c r="C43">
        <f>1 / (1 + EXP(-(Iterazioni!$B$7 + Iterazioni!$C$7 * Dati!A43)))</f>
        <v>7.1510974167990095E-9</v>
      </c>
      <c r="D43">
        <f>C43 - Dati!B43</f>
        <v>7.1510974167990095E-9</v>
      </c>
      <c r="E43">
        <f>D43 * Dati!A43</f>
        <v>5.3633230625992576E-7</v>
      </c>
      <c r="F43">
        <f xml:space="preserve"> - (Dati!B43 * LOG(C43) + (1 - Dati!B43) * LOG(1 - C43))</f>
        <v>3.1056821431907313E-9</v>
      </c>
    </row>
    <row r="44" spans="1:6" ht="15">
      <c r="A44" s="16">
        <v>60</v>
      </c>
      <c r="B44" s="15">
        <v>0</v>
      </c>
      <c r="C44">
        <f>1 / (1 + EXP(-(Iterazioni!$B$7 + Iterazioni!$C$7 * Dati!A44)))</f>
        <v>3.0407230936460174E-7</v>
      </c>
      <c r="D44">
        <f>C44 - Dati!B44</f>
        <v>3.0407230936460174E-7</v>
      </c>
      <c r="E44">
        <f>D44 * Dati!A44</f>
        <v>1.8244338561876105E-5</v>
      </c>
      <c r="F44">
        <f xml:space="preserve"> - (Dati!B44 * LOG(C44) + (1 - Dati!B44) * LOG(1 - C44))</f>
        <v>1.32056946119774E-7</v>
      </c>
    </row>
    <row r="45" spans="1:6" ht="15">
      <c r="A45" s="16">
        <v>39</v>
      </c>
      <c r="B45" s="15">
        <v>0</v>
      </c>
      <c r="C45">
        <f>1 / (1 + EXP(-(Iterazioni!$B$7 + Iterazioni!$C$7 * Dati!A45)))</f>
        <v>5.7942585419217499E-5</v>
      </c>
      <c r="D45">
        <f>C45 - Dati!B45</f>
        <v>5.7942585419217499E-5</v>
      </c>
      <c r="E45">
        <f>D45 * Dati!A45</f>
        <v>2.2597608313494823E-3</v>
      </c>
      <c r="F45">
        <f xml:space="preserve"> - (Dati!B45 * LOG(C45) + (1 - Dati!B45) * LOG(1 - C45))</f>
        <v>2.5164874180763101E-5</v>
      </c>
    </row>
    <row r="46" spans="1:6" ht="15">
      <c r="A46" s="17">
        <v>61</v>
      </c>
      <c r="B46" s="18">
        <v>0</v>
      </c>
      <c r="C46">
        <f>1 / (1 + EXP(-(Iterazioni!$B$7 + Iterazioni!$C$7 * Dati!A46)))</f>
        <v>2.3681176857157373E-7</v>
      </c>
      <c r="D46">
        <f>C46 - Dati!B46</f>
        <v>2.3681176857157373E-7</v>
      </c>
      <c r="E46">
        <f>D46 * Dati!A46</f>
        <v>1.4445517882865997E-5</v>
      </c>
      <c r="F46">
        <f xml:space="preserve"> - (Dati!B46 * LOG(C46) + (1 - Dati!B46) * LOG(1 - C46))</f>
        <v>1.0284605649907315E-7</v>
      </c>
    </row>
    <row r="47" spans="1:6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5A9948B4D40F448BBCD243FD9618D8" ma:contentTypeVersion="11" ma:contentTypeDescription="Create a new document." ma:contentTypeScope="" ma:versionID="36357f3db4d43b225545ebfc1ee1d881">
  <xsd:schema xmlns:xsd="http://www.w3.org/2001/XMLSchema" xmlns:xs="http://www.w3.org/2001/XMLSchema" xmlns:p="http://schemas.microsoft.com/office/2006/metadata/properties" xmlns:ns3="c2cf0363-603e-4b5d-9a9b-86a95fa5f4f3" targetNamespace="http://schemas.microsoft.com/office/2006/metadata/properties" ma:root="true" ma:fieldsID="d102a7f20193ef1b53c24ab7f646a340" ns3:_="">
    <xsd:import namespace="c2cf0363-603e-4b5d-9a9b-86a95fa5f4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f0363-603e-4b5d-9a9b-86a95fa5f4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cf0363-603e-4b5d-9a9b-86a95fa5f4f3" xsi:nil="true"/>
  </documentManagement>
</p:properties>
</file>

<file path=customXml/itemProps1.xml><?xml version="1.0" encoding="utf-8"?>
<ds:datastoreItem xmlns:ds="http://schemas.openxmlformats.org/officeDocument/2006/customXml" ds:itemID="{4B0B84EB-942E-4C5E-87CE-501E11CE0652}"/>
</file>

<file path=customXml/itemProps2.xml><?xml version="1.0" encoding="utf-8"?>
<ds:datastoreItem xmlns:ds="http://schemas.openxmlformats.org/officeDocument/2006/customXml" ds:itemID="{81DD3580-CCB2-44DB-82A5-0286736905FB}"/>
</file>

<file path=customXml/itemProps3.xml><?xml version="1.0" encoding="utf-8"?>
<ds:datastoreItem xmlns:ds="http://schemas.openxmlformats.org/officeDocument/2006/customXml" ds:itemID="{A36F7D98-B648-4399-ABAC-2746056864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ZOGHBANI LILIA</dc:creator>
  <cp:keywords/>
  <dc:description/>
  <cp:lastModifiedBy/>
  <cp:revision/>
  <dcterms:created xsi:type="dcterms:W3CDTF">2025-06-27T12:23:09Z</dcterms:created>
  <dcterms:modified xsi:type="dcterms:W3CDTF">2026-06-07T11:11:17Z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0x010100EA5A9948B4D40F448BBCD243FD9618D8</vt:lpwstr>
  </property>
</Properties>
</file>