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/>
  <xr:revisionPtr revIDLastSave="0" documentId="8_{A9D8B6E9-8FB0-49E0-8710-16D31D08FE3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lgo Punti su una Sfer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J10" i="1"/>
  <c r="D11" i="1"/>
  <c r="D19" i="1" s="1"/>
  <c r="D12" i="1"/>
  <c r="D20" i="1" s="1"/>
  <c r="D13" i="1"/>
  <c r="D21" i="1" s="1"/>
  <c r="D14" i="1"/>
  <c r="D22" i="1" s="1"/>
  <c r="D10" i="1"/>
  <c r="D18" i="1" s="1"/>
  <c r="C11" i="1"/>
  <c r="C19" i="1" s="1"/>
  <c r="C12" i="1"/>
  <c r="C20" i="1" s="1"/>
  <c r="C13" i="1"/>
  <c r="C21" i="1" s="1"/>
  <c r="C14" i="1"/>
  <c r="C22" i="1" s="1"/>
  <c r="C10" i="1"/>
  <c r="C18" i="1" s="1"/>
  <c r="B11" i="1"/>
  <c r="B19" i="1" s="1"/>
  <c r="E19" i="1" s="1"/>
  <c r="B12" i="1"/>
  <c r="B20" i="1" s="1"/>
  <c r="E20" i="1" s="1"/>
  <c r="B13" i="1"/>
  <c r="B21" i="1" s="1"/>
  <c r="E21" i="1" s="1"/>
  <c r="B14" i="1"/>
  <c r="B22" i="1" s="1"/>
  <c r="E22" i="1" s="1"/>
  <c r="B10" i="1"/>
  <c r="B18" i="1" s="1"/>
  <c r="E18" i="1" s="1"/>
</calcChain>
</file>

<file path=xl/sharedStrings.xml><?xml version="1.0" encoding="utf-8"?>
<sst xmlns="http://schemas.openxmlformats.org/spreadsheetml/2006/main" count="39" uniqueCount="23">
  <si>
    <t>Punti</t>
  </si>
  <si>
    <t>x</t>
  </si>
  <si>
    <t>y</t>
  </si>
  <si>
    <t>Piani casuali (vettori bidimensionali)</t>
  </si>
  <si>
    <t>r_x</t>
  </si>
  <si>
    <t>r_y</t>
  </si>
  <si>
    <t>P1</t>
  </si>
  <si>
    <t>R1</t>
  </si>
  <si>
    <t>P2</t>
  </si>
  <si>
    <t>R2</t>
  </si>
  <si>
    <t>P3</t>
  </si>
  <si>
    <t>R3</t>
  </si>
  <si>
    <t>P4</t>
  </si>
  <si>
    <t>P5</t>
  </si>
  <si>
    <t>Prodotti Scalari</t>
  </si>
  <si>
    <t>P1 e P2 sono simili?</t>
  </si>
  <si>
    <t>P1, P2</t>
  </si>
  <si>
    <t>RIsultato positivo, hash simile</t>
  </si>
  <si>
    <t>P1 e P3 sono simili?</t>
  </si>
  <si>
    <t>P1, P3</t>
  </si>
  <si>
    <t>Risultato negativo, hash diverso</t>
  </si>
  <si>
    <t>Bit direzione</t>
  </si>
  <si>
    <t>Hash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</si>
</sst>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2" borderId="1" xfId="0" applyFont="1" applyFill="1" applyBorder="1"/>
  </cellXfs>
  <cellStyles count="1">
    <cellStyle name="Normale" xfId="0" builtinId="0"/>
  </cellStyles>
  <dxfs count="3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249977111117893"/>
        <name val="Aptos Narrow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77AEF6-EF89-4C2B-8FCC-0A442D0EF5A6}" name="Tabella1" displayName="Tabella1" ref="A1:C6" totalsRowShown="0">
  <autoFilter ref="A1:C6" xr:uid="{8C77AEF6-EF89-4C2B-8FCC-0A442D0EF5A6}"/>
  <tableColumns count="3">
    <tableColumn id="1" xr3:uid="{531F9AEB-8956-4B09-997D-6B8D4ED2F9EE}" name="Punti"/>
    <tableColumn id="2" xr3:uid="{17D43B27-5BC1-4808-AE7C-05F5513D019E}" name="x"/>
    <tableColumn id="3" xr3:uid="{45B8E680-EA1B-49DF-8674-A6ADD2CD3660}" name="y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C29927-2BCD-4329-B6E0-0037764998C3}" name="Tabella2" displayName="Tabella2" ref="F1:H4" totalsRowShown="0">
  <autoFilter ref="F1:H4" xr:uid="{5DC29927-2BCD-4329-B6E0-0037764998C3}"/>
  <tableColumns count="3">
    <tableColumn id="1" xr3:uid="{0D9F8251-417B-443F-A230-C21B06391B2E}" name="Piani casuali (vettori bidimensionali)"/>
    <tableColumn id="2" xr3:uid="{8D52B65C-7478-4C77-8F07-32FBDD38AAE5}" name="r_x"/>
    <tableColumn id="3" xr3:uid="{BE8C7105-4BFF-4786-BFB0-6AD3FB34D353}" name="r_y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3C03BD-6181-46FF-8FB5-9B3402A343D7}" name="Tabella4" displayName="Tabella4" ref="A9:D14" totalsRowShown="0">
  <autoFilter ref="A9:D14" xr:uid="{D73C03BD-6181-46FF-8FB5-9B3402A343D7}"/>
  <tableColumns count="4">
    <tableColumn id="1" xr3:uid="{F7808E75-3518-4FE6-B996-60A2A54030B8}" name="Prodotti Scalari"/>
    <tableColumn id="2" xr3:uid="{CB427823-37AF-4C4B-B6F0-59F92FF9A467}" name="R1">
      <calculatedColumnFormula>SUMPRODUCT(B2:C2, G$2:H$2)</calculatedColumnFormula>
    </tableColumn>
    <tableColumn id="3" xr3:uid="{A0FF4314-3C17-4085-AD19-8BFD02300160}" name="R2">
      <calculatedColumnFormula>SUMPRODUCT(B2:C2, G$3:H$3)</calculatedColumnFormula>
    </tableColumn>
    <tableColumn id="4" xr3:uid="{66906D63-B934-4975-9798-66CD736859C2}" name="R3">
      <calculatedColumnFormula>SUMPRODUCT(B2:C2, G$4:H$4)</calculatedColumnFormula>
    </tableColumn>
  </tableColumns>
  <tableStyleInfo name="TableStyleLight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5D63CC-8E9B-4B0C-8C2A-2259A0117FDD}" name="Tabella5" displayName="Tabella5" ref="A17:E22" totalsRowShown="0">
  <autoFilter ref="A17:E22" xr:uid="{865D63CC-8E9B-4B0C-8C2A-2259A0117FDD}"/>
  <tableColumns count="5">
    <tableColumn id="1" xr3:uid="{F69817AC-C109-4D5D-9CC0-577F246B2EB2}" name="Bit direzione" dataDxfId="2"/>
    <tableColumn id="2" xr3:uid="{7A34E257-E081-4E13-B8F4-04F136DF0FA9}" name="R1" dataDxfId="1">
      <calculatedColumnFormula>IF(B10&gt;0, 1, 0)</calculatedColumnFormula>
    </tableColumn>
    <tableColumn id="3" xr3:uid="{C6A1A866-8D04-4416-8A98-27B808BEFFE3}" name="R2">
      <calculatedColumnFormula>IF(C10&gt;0, 1, 0)</calculatedColumnFormula>
    </tableColumn>
    <tableColumn id="4" xr3:uid="{8BA3AABD-6443-4F55-82B3-4CB005958D41}" name="R3">
      <calculatedColumnFormula>IF(D10&gt;0, 1, 0)</calculatedColumnFormula>
    </tableColumn>
    <tableColumn id="5" xr3:uid="{E82037F9-05CF-4123-A800-BC20B41E3DCD}" name="Hash" dataDxfId="0">
      <calculatedColumnFormula>TEXT(Tabella5[[#This Row],[R1]], "0")&amp;TEXT(Tabella5[[#This Row],[R2]], "0")&amp;TEXT(Tabella5[[#This Row],[R3]], "0")</calculatedColumnFormula>
    </tableColumn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F1" sqref="F1:F1048576"/>
    </sheetView>
  </sheetViews>
  <sheetFormatPr defaultRowHeight="15"/>
  <cols>
    <col min="1" max="1" width="17.28515625" bestFit="1" customWidth="1"/>
    <col min="5" max="5" width="9.140625" customWidth="1"/>
    <col min="6" max="6" width="33.140625" customWidth="1"/>
    <col min="10" max="10" width="9.28515625" bestFit="1" customWidth="1"/>
  </cols>
  <sheetData>
    <row r="1" spans="1:11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</row>
    <row r="2" spans="1:11">
      <c r="A2" t="s">
        <v>6</v>
      </c>
      <c r="B2">
        <v>3</v>
      </c>
      <c r="C2">
        <v>4</v>
      </c>
      <c r="F2" t="s">
        <v>7</v>
      </c>
      <c r="G2">
        <v>1</v>
      </c>
      <c r="H2">
        <v>0.5</v>
      </c>
    </row>
    <row r="3" spans="1:11">
      <c r="A3" t="s">
        <v>8</v>
      </c>
      <c r="B3">
        <v>2</v>
      </c>
      <c r="C3">
        <v>5</v>
      </c>
      <c r="F3" t="s">
        <v>9</v>
      </c>
      <c r="G3">
        <v>-0.7</v>
      </c>
      <c r="H3">
        <v>1</v>
      </c>
    </row>
    <row r="4" spans="1:11">
      <c r="A4" t="s">
        <v>10</v>
      </c>
      <c r="B4">
        <v>-1</v>
      </c>
      <c r="C4">
        <v>-3</v>
      </c>
      <c r="F4" t="s">
        <v>11</v>
      </c>
      <c r="G4">
        <v>0.3</v>
      </c>
      <c r="H4">
        <v>-1</v>
      </c>
    </row>
    <row r="5" spans="1:11">
      <c r="A5" t="s">
        <v>12</v>
      </c>
      <c r="B5">
        <v>4</v>
      </c>
      <c r="C5">
        <v>1</v>
      </c>
    </row>
    <row r="6" spans="1:11">
      <c r="A6" t="s">
        <v>13</v>
      </c>
      <c r="B6">
        <v>-2</v>
      </c>
      <c r="C6">
        <v>3</v>
      </c>
    </row>
    <row r="9" spans="1:11">
      <c r="A9" t="s">
        <v>14</v>
      </c>
      <c r="B9" t="s">
        <v>7</v>
      </c>
      <c r="C9" t="s">
        <v>9</v>
      </c>
      <c r="D9" t="s">
        <v>11</v>
      </c>
      <c r="I9" t="s">
        <v>15</v>
      </c>
    </row>
    <row r="10" spans="1:11">
      <c r="A10" t="s">
        <v>6</v>
      </c>
      <c r="B10">
        <f>SUMPRODUCT(B2:C2, G$2:H$2)</f>
        <v>5</v>
      </c>
      <c r="C10">
        <f>SUMPRODUCT(B2:C2, G$3:H$3)</f>
        <v>1.9000000000000004</v>
      </c>
      <c r="D10">
        <f>SUMPRODUCT(B2:C2, G$4:H$4)</f>
        <v>-3.1</v>
      </c>
      <c r="I10" t="s">
        <v>16</v>
      </c>
      <c r="J10">
        <f>SUMPRODUCT(B2:C2, B3:C3) / (SQRT(SUMPRODUCT(B2:C2, B2:C2)) * SQRT(SUMPRODUCT(B3:C3, B3:C3)))</f>
        <v>0.96561575852066972</v>
      </c>
      <c r="K10" t="s">
        <v>17</v>
      </c>
    </row>
    <row r="11" spans="1:11">
      <c r="A11" t="s">
        <v>8</v>
      </c>
      <c r="B11">
        <f>SUMPRODUCT(B3:C3, G$2:H$2)</f>
        <v>4.5</v>
      </c>
      <c r="C11">
        <f>SUMPRODUCT(B3:C3, G$3:H$3)</f>
        <v>3.6</v>
      </c>
      <c r="D11">
        <f>SUMPRODUCT(B3:C3, G$4:H$4)</f>
        <v>-4.4000000000000004</v>
      </c>
    </row>
    <row r="12" spans="1:11">
      <c r="A12" t="s">
        <v>10</v>
      </c>
      <c r="B12">
        <f>SUMPRODUCT(B4:C4, G$2:H$2)</f>
        <v>-2.5</v>
      </c>
      <c r="C12">
        <f>SUMPRODUCT(B4:C4, G$3:H$3)</f>
        <v>-2.2999999999999998</v>
      </c>
      <c r="D12">
        <f>SUMPRODUCT(B4:C4, G$4:H$4)</f>
        <v>2.7</v>
      </c>
      <c r="I12" t="s">
        <v>18</v>
      </c>
    </row>
    <row r="13" spans="1:11">
      <c r="A13" t="s">
        <v>12</v>
      </c>
      <c r="B13">
        <f>SUMPRODUCT(B5:C5, G$2:H$2)</f>
        <v>4.5</v>
      </c>
      <c r="C13">
        <f>SUMPRODUCT(B5:C5, G$3:H$3)</f>
        <v>-1.7999999999999998</v>
      </c>
      <c r="D13">
        <f>SUMPRODUCT(B5:C5, G$4:H$4)</f>
        <v>0.19999999999999996</v>
      </c>
      <c r="I13" t="s">
        <v>19</v>
      </c>
      <c r="J13">
        <f>SUMPRODUCT(B2:C2, B4:C4) / (SQRT(SUMPRODUCT(B2:C2, B2:C2)) * SQRT(SUMPRODUCT(B4:C4, B4:C4)))</f>
        <v>-0.94868329805051377</v>
      </c>
      <c r="K13" t="s">
        <v>20</v>
      </c>
    </row>
    <row r="14" spans="1:11">
      <c r="A14" t="s">
        <v>13</v>
      </c>
      <c r="B14">
        <f>SUMPRODUCT(B6:C6, G$2:H$2)</f>
        <v>-0.5</v>
      </c>
      <c r="C14">
        <f>SUMPRODUCT(B6:C6, G$3:H$3)</f>
        <v>4.4000000000000004</v>
      </c>
      <c r="D14">
        <f>SUMPRODUCT(B6:C6, G$4:H$4)</f>
        <v>-3.6</v>
      </c>
    </row>
    <row r="17" spans="1:5">
      <c r="A17" t="s">
        <v>21</v>
      </c>
      <c r="B17" t="s">
        <v>7</v>
      </c>
      <c r="C17" t="s">
        <v>9</v>
      </c>
      <c r="D17" t="s">
        <v>11</v>
      </c>
      <c r="E17" t="s">
        <v>22</v>
      </c>
    </row>
    <row r="18" spans="1:5">
      <c r="A18" s="1" t="s">
        <v>6</v>
      </c>
      <c r="B18">
        <f t="shared" ref="B18:D22" si="0">IF(B10&gt;0, 1, 0)</f>
        <v>1</v>
      </c>
      <c r="C18">
        <f t="shared" si="0"/>
        <v>1</v>
      </c>
      <c r="D18">
        <f t="shared" si="0"/>
        <v>0</v>
      </c>
      <c r="E18" t="str">
        <f>TEXT(Tabella5[[#This Row],[R1]], "0")&amp;TEXT(Tabella5[[#This Row],[R2]], "0")&amp;TEXT(Tabella5[[#This Row],[R3]], "0")</f>
        <v>110</v>
      </c>
    </row>
    <row r="19" spans="1:5">
      <c r="A19" s="2" t="s">
        <v>8</v>
      </c>
      <c r="B19">
        <f t="shared" si="0"/>
        <v>1</v>
      </c>
      <c r="C19">
        <f t="shared" si="0"/>
        <v>1</v>
      </c>
      <c r="D19">
        <f t="shared" si="0"/>
        <v>0</v>
      </c>
      <c r="E19" t="str">
        <f>TEXT(Tabella5[[#This Row],[R1]], "0")&amp;TEXT(Tabella5[[#This Row],[R2]], "0")&amp;TEXT(Tabella5[[#This Row],[R3]], "0")</f>
        <v>110</v>
      </c>
    </row>
    <row r="20" spans="1:5">
      <c r="A20" s="1" t="s">
        <v>10</v>
      </c>
      <c r="B20">
        <f t="shared" si="0"/>
        <v>0</v>
      </c>
      <c r="C20">
        <f t="shared" si="0"/>
        <v>0</v>
      </c>
      <c r="D20">
        <f t="shared" si="0"/>
        <v>1</v>
      </c>
      <c r="E20" t="str">
        <f>TEXT(Tabella5[[#This Row],[R1]], "0")&amp;TEXT(Tabella5[[#This Row],[R2]], "0")&amp;TEXT(Tabella5[[#This Row],[R3]], "0")</f>
        <v>001</v>
      </c>
    </row>
    <row r="21" spans="1:5">
      <c r="A21" s="2" t="s">
        <v>12</v>
      </c>
      <c r="B21">
        <f t="shared" si="0"/>
        <v>1</v>
      </c>
      <c r="C21">
        <f t="shared" si="0"/>
        <v>0</v>
      </c>
      <c r="D21">
        <f t="shared" si="0"/>
        <v>1</v>
      </c>
      <c r="E21" t="str">
        <f>TEXT(Tabella5[[#This Row],[R1]], "0")&amp;TEXT(Tabella5[[#This Row],[R2]], "0")&amp;TEXT(Tabella5[[#This Row],[R3]], "0")</f>
        <v>101</v>
      </c>
    </row>
    <row r="22" spans="1:5">
      <c r="A22" s="3" t="s">
        <v>13</v>
      </c>
      <c r="B22">
        <f t="shared" si="0"/>
        <v>0</v>
      </c>
      <c r="C22">
        <f t="shared" si="0"/>
        <v>1</v>
      </c>
      <c r="D22">
        <f t="shared" si="0"/>
        <v>0</v>
      </c>
      <c r="E22" t="str">
        <f>TEXT(Tabella5[[#This Row],[R1]], "0")&amp;TEXT(Tabella5[[#This Row],[R2]], "0")&amp;TEXT(Tabella5[[#This Row],[R3]], "0")</f>
        <v>010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2026-06-08T12:05:16Z</dcterms:created>
  <dcterms:modified xsi:type="dcterms:W3CDTF">2026-06-08T12:42:26Z</dcterms:modified>
  <cp:category/>
  <cp:contentStatus/>
</cp:coreProperties>
</file>